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imelines/timeline1.xml" ContentType="application/vnd.ms-excel.timeline+xml"/>
  <Override PartName="/xl/tables/table2.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mc:AlternateContent xmlns:mc="http://schemas.openxmlformats.org/markup-compatibility/2006">
    <mc:Choice Requires="x15">
      <x15ac:absPath xmlns:x15ac="http://schemas.microsoft.com/office/spreadsheetml/2010/11/ac" url="https://d.docs.live.net/f990d18ace1fd7a2/Documents/"/>
    </mc:Choice>
  </mc:AlternateContent>
  <xr:revisionPtr revIDLastSave="1" documentId="13_ncr:1_{37D38AA6-71DC-4FE6-B483-F5CCB19FA81F}" xr6:coauthVersionLast="43" xr6:coauthVersionMax="43" xr10:uidLastSave="{4F50F264-8063-4E56-A542-EEA70A6B42B3}"/>
  <bookViews>
    <workbookView xWindow="2340" yWindow="2340" windowWidth="16200" windowHeight="9360" tabRatio="704" firstSheet="11" activeTab="18" xr2:uid="{E16D8187-42E6-4A0E-9E69-9BDFE2BD9129}"/>
  </bookViews>
  <sheets>
    <sheet name="Sheet39" sheetId="48" r:id="rId1"/>
    <sheet name="Sheet38" sheetId="47" r:id="rId2"/>
    <sheet name="Sheet37" sheetId="46" r:id="rId3"/>
    <sheet name="Sheet40" sheetId="49" r:id="rId4"/>
    <sheet name="Sheet36" sheetId="45" r:id="rId5"/>
    <sheet name="Sheet35" sheetId="44" r:id="rId6"/>
    <sheet name="Sheet33" sheetId="42" r:id="rId7"/>
    <sheet name="Sheet31" sheetId="41" r:id="rId8"/>
    <sheet name="Sheet32" sheetId="40" r:id="rId9"/>
    <sheet name="Sheet-3" sheetId="39" r:id="rId10"/>
    <sheet name="Sheet-2" sheetId="38" r:id="rId11"/>
    <sheet name="Sheet-1" sheetId="37" r:id="rId12"/>
    <sheet name="Sheet0" sheetId="14" r:id="rId13"/>
    <sheet name="Sheet1" sheetId="1" r:id="rId14"/>
    <sheet name="Sheet2" sheetId="2" r:id="rId15"/>
    <sheet name="S2REV" sheetId="35" r:id="rId16"/>
    <sheet name="Sheet3" sheetId="3" r:id="rId17"/>
    <sheet name="Sheet4" sheetId="4" r:id="rId18"/>
    <sheet name="Sheet5" sheetId="5" r:id="rId19"/>
    <sheet name="Sheet6" sheetId="6" r:id="rId20"/>
    <sheet name="Sheet7" sheetId="7" r:id="rId21"/>
    <sheet name="Sheet30" sheetId="36" r:id="rId22"/>
    <sheet name="Sheet8" sheetId="8" r:id="rId23"/>
    <sheet name="Sheet9" sheetId="11" r:id="rId24"/>
    <sheet name="Sheet10" sheetId="12" r:id="rId25"/>
    <sheet name="Sheet11" sheetId="13" r:id="rId26"/>
    <sheet name="Sheet12" sheetId="15" r:id="rId27"/>
    <sheet name="Sheet13" sheetId="16" r:id="rId28"/>
    <sheet name="Sheet14" sheetId="17" r:id="rId29"/>
    <sheet name="Sheet15" sheetId="18" r:id="rId30"/>
    <sheet name="Sheet16" sheetId="19" r:id="rId31"/>
    <sheet name="Sheet17" sheetId="20" r:id="rId32"/>
    <sheet name="Sheet18" sheetId="21" r:id="rId33"/>
    <sheet name="Sheet19" sheetId="22" r:id="rId34"/>
    <sheet name="Sheet20" sheetId="24" r:id="rId35"/>
    <sheet name="Sheet21" sheetId="23" r:id="rId36"/>
    <sheet name="Sheet22" sheetId="25" r:id="rId37"/>
    <sheet name="Sheet23" sheetId="26" r:id="rId38"/>
    <sheet name="Sheet24" sheetId="27" r:id="rId39"/>
    <sheet name="Sheet25" sheetId="28" r:id="rId40"/>
    <sheet name="Sheet26" sheetId="29" r:id="rId41"/>
    <sheet name="Sheet27" sheetId="30" r:id="rId42"/>
    <sheet name="Sheet28" sheetId="31" r:id="rId43"/>
    <sheet name="Sheet29" sheetId="32" r:id="rId44"/>
    <sheet name="Sheet34" sheetId="43" r:id="rId45"/>
  </sheets>
  <definedNames>
    <definedName name="_xlnm._FilterDatabase" localSheetId="25" hidden="1">Sheet11!$A$32:$F$104</definedName>
    <definedName name="_xlnm._FilterDatabase" localSheetId="27" hidden="1">Sheet13!$A$1:$K$19</definedName>
    <definedName name="_xlnm._FilterDatabase" localSheetId="28" hidden="1">Sheet14!$A$1:$R$22</definedName>
    <definedName name="_xlnm._FilterDatabase" localSheetId="31" hidden="1">Sheet17!$B$2:$B$19</definedName>
    <definedName name="_xlnm._FilterDatabase" localSheetId="32" hidden="1">Sheet18!$Z$8:$Z$8</definedName>
    <definedName name="_xlnm._FilterDatabase" localSheetId="10" hidden="1">'Sheet-2'!$A$1:$K$15</definedName>
    <definedName name="_xlnm._FilterDatabase" localSheetId="40" hidden="1">Sheet26!$A$1:$I$366</definedName>
    <definedName name="_xlnm._FilterDatabase" localSheetId="9" hidden="1">'Sheet-3'!$A$1:$O$151</definedName>
    <definedName name="_xlnm._FilterDatabase" localSheetId="7" hidden="1">Sheet31!$A$1:$N$151</definedName>
    <definedName name="_xlnm._FilterDatabase" localSheetId="6" hidden="1">Sheet33!$A$1:$O$151</definedName>
    <definedName name="_xlcn.WorksheetConnection_PIYUSHNEW.xlsmTable1" hidden="1">Table1[]</definedName>
    <definedName name="COMPUTER_STUDENTS">Sheet27!$A$3:$A$8</definedName>
    <definedName name="_xlnm.Criteria" localSheetId="7">Sheet31!$S$6:$S$9</definedName>
    <definedName name="_xlnm.Criteria" localSheetId="6">Sheet33!$Q$8:$Q$9</definedName>
    <definedName name="_xlnm.Criteria" localSheetId="5">Sheet35!$H$6:$K$7</definedName>
    <definedName name="ENGLISH_STUDENTS">Sheet27!$A$15:$A$20</definedName>
    <definedName name="_xlnm.Extract" localSheetId="7">Sheet31!$V$11:$AI$11</definedName>
    <definedName name="_xlnm.Extract" localSheetId="6">Sheet33!$Q$13:$U$13</definedName>
    <definedName name="_xlnm.Extract" localSheetId="5">Sheet35!$B$13:$P$13</definedName>
    <definedName name="LIST">CHOOSE(Sheet28!$A$1,COMPUTER_STUDENTS,ENGLISH_STUDENTS)</definedName>
    <definedName name="NativeTimeline_DATE">#N/A</definedName>
    <definedName name="PRODUCT">Sheet35!$S$2:$S$8</definedName>
    <definedName name="Slicer_PRODUCT">#N/A</definedName>
    <definedName name="Slicer_STATE">#N/A</definedName>
    <definedName name="solver_eng" localSheetId="36" hidden="1">1</definedName>
    <definedName name="solver_eng" localSheetId="7" hidden="1">1</definedName>
    <definedName name="solver_neg" localSheetId="36" hidden="1">1</definedName>
    <definedName name="solver_neg" localSheetId="7" hidden="1">1</definedName>
    <definedName name="solver_num" localSheetId="36" hidden="1">0</definedName>
    <definedName name="solver_num" localSheetId="7" hidden="1">0</definedName>
    <definedName name="solver_opt" localSheetId="36" hidden="1">Sheet22!$I$6</definedName>
    <definedName name="solver_opt" localSheetId="7" hidden="1">Sheet31!$J$9</definedName>
    <definedName name="solver_typ" localSheetId="36" hidden="1">1</definedName>
    <definedName name="solver_typ" localSheetId="7" hidden="1">1</definedName>
    <definedName name="solver_val" localSheetId="36" hidden="1">0</definedName>
    <definedName name="solver_val" localSheetId="7" hidden="1">0</definedName>
    <definedName name="solver_ver" localSheetId="36" hidden="1">3</definedName>
    <definedName name="solver_ver" localSheetId="7" hidden="1">3</definedName>
    <definedName name="STATE">Sheet35!$T$2:$T$8</definedName>
  </definedNames>
  <calcPr calcId="191029"/>
  <pivotCaches>
    <pivotCache cacheId="0" r:id="rId46"/>
    <pivotCache cacheId="1" r:id="rId47"/>
  </pivotCaches>
  <extLst>
    <ext xmlns:x14="http://schemas.microsoft.com/office/spreadsheetml/2009/9/main" uri="{BBE1A952-AA13-448e-AADC-164F8A28A991}">
      <x14:slicerCaches>
        <x14:slicerCache r:id="rId48"/>
        <x14:slicerCache r:id="rId4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5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PIYUSH NEW.xlsm!Table1"/>
        </x15:modelTables>
      </x15:dataModel>
    </ext>
  </extLst>
</workbook>
</file>

<file path=xl/calcChain.xml><?xml version="1.0" encoding="utf-8"?>
<calcChain xmlns="http://schemas.openxmlformats.org/spreadsheetml/2006/main">
  <c r="C2" i="23" l="1"/>
  <c r="C23" i="23"/>
  <c r="J2" i="14"/>
  <c r="J7" i="44" l="1"/>
  <c r="K7" i="44"/>
  <c r="I7" i="44"/>
  <c r="H7" i="44"/>
  <c r="I4" i="25" l="1"/>
  <c r="K2" i="25"/>
  <c r="L2" i="25"/>
  <c r="G11" i="4"/>
  <c r="H13" i="40" l="1"/>
  <c r="A12" i="31"/>
  <c r="K14" i="36" l="1"/>
  <c r="H20" i="24" l="1"/>
  <c r="I20" i="24"/>
  <c r="D22" i="24"/>
  <c r="E5" i="24"/>
  <c r="Q7" i="22"/>
  <c r="Q13" i="22"/>
  <c r="D3" i="37" l="1"/>
  <c r="C4" i="37"/>
  <c r="C3" i="37"/>
  <c r="L15" i="36" l="1"/>
  <c r="L14" i="36" s="1"/>
  <c r="L16" i="36"/>
  <c r="K16" i="36"/>
  <c r="I16" i="36"/>
  <c r="K15" i="36"/>
  <c r="N6" i="11"/>
  <c r="L6" i="11"/>
  <c r="J14" i="11"/>
  <c r="I8" i="11"/>
  <c r="I7" i="11"/>
  <c r="H5" i="11"/>
  <c r="C17" i="8"/>
  <c r="B17" i="8"/>
  <c r="H5" i="8"/>
  <c r="I1" i="36"/>
  <c r="H1" i="36"/>
  <c r="Q4" i="36"/>
  <c r="O4" i="36"/>
  <c r="M4" i="36"/>
  <c r="K4" i="36"/>
  <c r="K1" i="36"/>
  <c r="J1" i="36"/>
  <c r="C3" i="5" l="1"/>
  <c r="F11" i="4"/>
  <c r="J10" i="3"/>
  <c r="I16" i="3"/>
  <c r="I10" i="3"/>
  <c r="E14" i="3"/>
  <c r="F18" i="3"/>
  <c r="K10" i="3" l="1"/>
  <c r="F10" i="3"/>
  <c r="N19" i="35"/>
  <c r="J24" i="35"/>
  <c r="S18" i="35"/>
  <c r="Q21" i="35"/>
  <c r="O13" i="35"/>
  <c r="J22" i="35" l="1"/>
  <c r="G9" i="35"/>
  <c r="G16" i="35" l="1"/>
  <c r="D3" i="1"/>
  <c r="E18" i="20" l="1"/>
  <c r="Q9" i="24"/>
  <c r="P10" i="24"/>
  <c r="E6" i="24"/>
  <c r="B20" i="24"/>
  <c r="M20" i="29" l="1"/>
  <c r="B16" i="28"/>
  <c r="B17" i="28"/>
  <c r="N20" i="29"/>
  <c r="O20" i="29"/>
  <c r="P20" i="29"/>
  <c r="Q20" i="29"/>
  <c r="R20" i="29"/>
  <c r="B12" i="31" l="1"/>
  <c r="C12" i="31" s="1"/>
  <c r="D12" i="31" s="1"/>
  <c r="E12" i="31" s="1"/>
  <c r="F12" i="31" s="1"/>
  <c r="G12" i="31" s="1"/>
  <c r="A7" i="31"/>
  <c r="M18" i="11"/>
  <c r="B7" i="31" l="1"/>
  <c r="C7" i="31"/>
  <c r="E7" i="31"/>
  <c r="D7" i="31"/>
  <c r="L3" i="29"/>
  <c r="M3" i="29"/>
  <c r="N3" i="29"/>
  <c r="O3" i="29"/>
  <c r="J7" i="27"/>
  <c r="J2" i="27"/>
  <c r="J3" i="27"/>
  <c r="J4" i="27"/>
  <c r="J5" i="27"/>
  <c r="J6" i="27"/>
  <c r="J8" i="27"/>
  <c r="J9" i="27"/>
  <c r="J1" i="27"/>
  <c r="F1" i="27"/>
  <c r="F2" i="27"/>
  <c r="F3" i="27"/>
  <c r="F4" i="27"/>
  <c r="E1" i="27"/>
  <c r="E2" i="27"/>
  <c r="E3" i="27"/>
  <c r="E4" i="27"/>
  <c r="E6" i="27"/>
  <c r="F6" i="27" s="1"/>
  <c r="E7" i="27"/>
  <c r="F7" i="27" s="1"/>
  <c r="E8" i="27"/>
  <c r="F8" i="27" s="1"/>
  <c r="E9" i="27"/>
  <c r="F9" i="27" s="1"/>
  <c r="E5" i="27"/>
  <c r="F5" i="27" s="1"/>
  <c r="Q15" i="22" l="1"/>
  <c r="K6" i="17" l="1"/>
  <c r="K4" i="17"/>
  <c r="B23" i="28" l="1"/>
  <c r="B22" i="28"/>
  <c r="B24" i="28"/>
  <c r="B28" i="28"/>
  <c r="B29" i="28"/>
  <c r="B25" i="28"/>
  <c r="B30" i="28"/>
  <c r="B26" i="28"/>
  <c r="B27" i="28"/>
  <c r="AI2" i="28" l="1"/>
  <c r="AI3" i="28"/>
  <c r="AI4" i="28"/>
  <c r="AI5" i="28"/>
  <c r="AI6" i="28"/>
  <c r="AI7" i="28"/>
  <c r="AI8" i="28"/>
  <c r="AI9" i="28"/>
  <c r="AI10" i="28"/>
  <c r="AI11" i="28"/>
  <c r="AI12" i="28"/>
  <c r="AI1" i="28"/>
  <c r="V1" i="28"/>
  <c r="V5" i="28" s="1"/>
  <c r="H5" i="28"/>
  <c r="C16" i="28" l="1"/>
  <c r="K53" i="18" a="1"/>
  <c r="K53" i="18" s="1"/>
  <c r="K20" i="19" a="1"/>
  <c r="K20" i="19" s="1"/>
  <c r="I6" i="20"/>
  <c r="R20" i="21"/>
  <c r="R23" i="21"/>
  <c r="C8" i="14"/>
  <c r="E2" i="14"/>
  <c r="M2" i="25"/>
  <c r="J2" i="25"/>
  <c r="I2" i="25"/>
  <c r="F2" i="25"/>
  <c r="G2" i="25" s="1"/>
  <c r="H2" i="25" s="1"/>
  <c r="E2" i="25"/>
  <c r="D2" i="25"/>
  <c r="C2" i="25"/>
  <c r="B2" i="25"/>
  <c r="C24" i="28" l="1"/>
  <c r="C28" i="28"/>
  <c r="C22" i="28"/>
  <c r="C25" i="28"/>
  <c r="C23" i="28"/>
  <c r="C27" i="28"/>
  <c r="C26" i="28"/>
  <c r="C30" i="28"/>
  <c r="C29" i="28"/>
  <c r="C17" i="28"/>
  <c r="D16" i="28"/>
  <c r="B24" i="23"/>
  <c r="C24" i="23"/>
  <c r="D24" i="23"/>
  <c r="E24" i="23"/>
  <c r="F24" i="23"/>
  <c r="G24" i="23"/>
  <c r="H24" i="23"/>
  <c r="I24" i="23"/>
  <c r="J24" i="23"/>
  <c r="K24" i="23"/>
  <c r="L24" i="23"/>
  <c r="M24" i="23"/>
  <c r="N24" i="23"/>
  <c r="O24" i="23"/>
  <c r="P24" i="23"/>
  <c r="Q24" i="23"/>
  <c r="R24" i="23"/>
  <c r="S24" i="23"/>
  <c r="T24" i="23"/>
  <c r="U24" i="23"/>
  <c r="V24" i="23"/>
  <c r="W24" i="23"/>
  <c r="X24" i="23"/>
  <c r="Y24" i="23"/>
  <c r="Z24" i="23"/>
  <c r="AA24" i="23"/>
  <c r="B25" i="23"/>
  <c r="C25" i="23"/>
  <c r="D25" i="23"/>
  <c r="E25" i="23"/>
  <c r="F25" i="23"/>
  <c r="G25" i="23"/>
  <c r="H25" i="23"/>
  <c r="I25" i="23"/>
  <c r="J25" i="23"/>
  <c r="K25" i="23"/>
  <c r="L25" i="23"/>
  <c r="M25" i="23"/>
  <c r="N25" i="23"/>
  <c r="O25" i="23"/>
  <c r="P25" i="23"/>
  <c r="Q25" i="23"/>
  <c r="R25" i="23"/>
  <c r="S25" i="23"/>
  <c r="T25" i="23"/>
  <c r="U25" i="23"/>
  <c r="V25" i="23"/>
  <c r="W25" i="23"/>
  <c r="X25" i="23"/>
  <c r="Y25" i="23"/>
  <c r="Z25" i="23"/>
  <c r="AA25" i="23"/>
  <c r="B26" i="23"/>
  <c r="C26" i="23"/>
  <c r="D26" i="23"/>
  <c r="E26" i="23"/>
  <c r="F26" i="23"/>
  <c r="G26" i="23"/>
  <c r="H26" i="23"/>
  <c r="I26" i="23"/>
  <c r="J26" i="23"/>
  <c r="K26" i="23"/>
  <c r="L26" i="23"/>
  <c r="M26" i="23"/>
  <c r="N26" i="23"/>
  <c r="O26" i="23"/>
  <c r="P26" i="23"/>
  <c r="Q26" i="23"/>
  <c r="R26" i="23"/>
  <c r="S26" i="23"/>
  <c r="T26" i="23"/>
  <c r="U26" i="23"/>
  <c r="V26" i="23"/>
  <c r="W26" i="23"/>
  <c r="X26" i="23"/>
  <c r="Y26" i="23"/>
  <c r="Z26" i="23"/>
  <c r="AA26" i="23"/>
  <c r="B27" i="23"/>
  <c r="C27" i="23"/>
  <c r="D27" i="23"/>
  <c r="E27" i="23"/>
  <c r="F27" i="23"/>
  <c r="G27" i="23"/>
  <c r="H27" i="23"/>
  <c r="I27" i="23"/>
  <c r="J27" i="23"/>
  <c r="K27" i="23"/>
  <c r="L27" i="23"/>
  <c r="M27" i="23"/>
  <c r="N27" i="23"/>
  <c r="O27" i="23"/>
  <c r="P27" i="23"/>
  <c r="Q27" i="23"/>
  <c r="R27" i="23"/>
  <c r="S27" i="23"/>
  <c r="T27" i="23"/>
  <c r="U27" i="23"/>
  <c r="V27" i="23"/>
  <c r="W27" i="23"/>
  <c r="X27" i="23"/>
  <c r="Y27" i="23"/>
  <c r="Z27" i="23"/>
  <c r="AA27" i="23"/>
  <c r="B28" i="23"/>
  <c r="C28" i="23"/>
  <c r="D28" i="23"/>
  <c r="E28" i="23"/>
  <c r="F28" i="23"/>
  <c r="G28" i="23"/>
  <c r="H28" i="23"/>
  <c r="I28" i="23"/>
  <c r="J28" i="23"/>
  <c r="K28" i="23"/>
  <c r="L28" i="23"/>
  <c r="M28" i="23"/>
  <c r="N28" i="23"/>
  <c r="O28" i="23"/>
  <c r="P28" i="23"/>
  <c r="Q28" i="23"/>
  <c r="R28" i="23"/>
  <c r="S28" i="23"/>
  <c r="T28" i="23"/>
  <c r="U28" i="23"/>
  <c r="V28" i="23"/>
  <c r="W28" i="23"/>
  <c r="X28" i="23"/>
  <c r="Y28" i="23"/>
  <c r="Z28" i="23"/>
  <c r="AA28" i="23"/>
  <c r="D23" i="23"/>
  <c r="E23" i="23"/>
  <c r="F23" i="23"/>
  <c r="G23" i="23"/>
  <c r="H23" i="23"/>
  <c r="I23" i="23"/>
  <c r="J23" i="23"/>
  <c r="K23" i="23"/>
  <c r="L23" i="23"/>
  <c r="M23" i="23"/>
  <c r="N23" i="23"/>
  <c r="O23" i="23"/>
  <c r="P23" i="23"/>
  <c r="Q23" i="23"/>
  <c r="R23" i="23"/>
  <c r="S23" i="23"/>
  <c r="T23" i="23"/>
  <c r="U23" i="23"/>
  <c r="V23" i="23"/>
  <c r="W23" i="23"/>
  <c r="X23" i="23"/>
  <c r="Y23" i="23"/>
  <c r="Z23" i="23"/>
  <c r="AA23" i="23"/>
  <c r="B23" i="23"/>
  <c r="D20" i="24"/>
  <c r="D25" i="28" l="1"/>
  <c r="D29" i="28"/>
  <c r="D24" i="28"/>
  <c r="D28" i="28"/>
  <c r="D22" i="28"/>
  <c r="D26" i="28"/>
  <c r="D23" i="28"/>
  <c r="D27" i="28"/>
  <c r="D30" i="28"/>
  <c r="D17" i="28"/>
  <c r="E16" i="28"/>
  <c r="G16" i="23"/>
  <c r="B21" i="24"/>
  <c r="B22" i="24"/>
  <c r="B23" i="24"/>
  <c r="B24" i="24"/>
  <c r="B25" i="24"/>
  <c r="B26" i="24"/>
  <c r="B27" i="24"/>
  <c r="B28" i="24"/>
  <c r="B29" i="24"/>
  <c r="B30" i="24"/>
  <c r="B31" i="24"/>
  <c r="N14" i="22"/>
  <c r="P6" i="24"/>
  <c r="C14" i="24"/>
  <c r="B13" i="24"/>
  <c r="D12" i="24"/>
  <c r="B3" i="23"/>
  <c r="C3" i="23"/>
  <c r="D3" i="23"/>
  <c r="E3" i="23"/>
  <c r="F3" i="23"/>
  <c r="G3" i="23"/>
  <c r="H3" i="23"/>
  <c r="I3" i="23"/>
  <c r="J3" i="23"/>
  <c r="K3" i="23"/>
  <c r="L3" i="23"/>
  <c r="M3" i="23"/>
  <c r="N3" i="23"/>
  <c r="O3" i="23"/>
  <c r="P3" i="23"/>
  <c r="Q3" i="23"/>
  <c r="R3" i="23"/>
  <c r="S3" i="23"/>
  <c r="T3" i="23"/>
  <c r="U3" i="23"/>
  <c r="V3" i="23"/>
  <c r="W3" i="23"/>
  <c r="X3" i="23"/>
  <c r="Y3" i="23"/>
  <c r="Z3" i="23"/>
  <c r="AA3" i="23"/>
  <c r="B4" i="23"/>
  <c r="C4" i="23"/>
  <c r="D4" i="23"/>
  <c r="E4" i="23"/>
  <c r="F4" i="23"/>
  <c r="G4" i="23"/>
  <c r="H4" i="23"/>
  <c r="I4" i="23"/>
  <c r="J4" i="23"/>
  <c r="K4" i="23"/>
  <c r="L4" i="23"/>
  <c r="M4" i="23"/>
  <c r="N4" i="23"/>
  <c r="O4" i="23"/>
  <c r="P4" i="23"/>
  <c r="Q4" i="23"/>
  <c r="R4" i="23"/>
  <c r="S4" i="23"/>
  <c r="T4" i="23"/>
  <c r="U4" i="23"/>
  <c r="V4" i="23"/>
  <c r="W4" i="23"/>
  <c r="X4" i="23"/>
  <c r="Y4" i="23"/>
  <c r="Z4" i="23"/>
  <c r="AA4" i="23"/>
  <c r="B5" i="23"/>
  <c r="C5" i="23"/>
  <c r="D5" i="23"/>
  <c r="E5" i="23"/>
  <c r="F5" i="23"/>
  <c r="G5" i="23"/>
  <c r="H5" i="23"/>
  <c r="I5" i="23"/>
  <c r="J5" i="23"/>
  <c r="K5" i="23"/>
  <c r="L5" i="23"/>
  <c r="M5" i="23"/>
  <c r="N5" i="23"/>
  <c r="O5" i="23"/>
  <c r="P5" i="23"/>
  <c r="Q5" i="23"/>
  <c r="R5" i="23"/>
  <c r="S5" i="23"/>
  <c r="T5" i="23"/>
  <c r="U5" i="23"/>
  <c r="V5" i="23"/>
  <c r="W5" i="23"/>
  <c r="X5" i="23"/>
  <c r="Y5" i="23"/>
  <c r="Z5" i="23"/>
  <c r="AA5" i="23"/>
  <c r="B6" i="23"/>
  <c r="C6" i="23"/>
  <c r="D6" i="23"/>
  <c r="E6" i="23"/>
  <c r="F6" i="23"/>
  <c r="G6" i="23"/>
  <c r="H6" i="23"/>
  <c r="I6" i="23"/>
  <c r="J6" i="23"/>
  <c r="K6" i="23"/>
  <c r="L6" i="23"/>
  <c r="M6" i="23"/>
  <c r="N6" i="23"/>
  <c r="O6" i="23"/>
  <c r="P6" i="23"/>
  <c r="Q6" i="23"/>
  <c r="R6" i="23"/>
  <c r="S6" i="23"/>
  <c r="T6" i="23"/>
  <c r="U6" i="23"/>
  <c r="V6" i="23"/>
  <c r="W6" i="23"/>
  <c r="X6" i="23"/>
  <c r="Y6" i="23"/>
  <c r="Z6" i="23"/>
  <c r="AA6" i="23"/>
  <c r="B7" i="23"/>
  <c r="C7" i="23"/>
  <c r="D7" i="23"/>
  <c r="E7" i="23"/>
  <c r="F7" i="23"/>
  <c r="G7" i="23"/>
  <c r="H7" i="23"/>
  <c r="I7" i="23"/>
  <c r="J7" i="23"/>
  <c r="K7" i="23"/>
  <c r="L7" i="23"/>
  <c r="M7" i="23"/>
  <c r="N7" i="23"/>
  <c r="O7" i="23"/>
  <c r="P7" i="23"/>
  <c r="Q7" i="23"/>
  <c r="R7" i="23"/>
  <c r="S7" i="23"/>
  <c r="T7" i="23"/>
  <c r="U7" i="23"/>
  <c r="V7" i="23"/>
  <c r="W7" i="23"/>
  <c r="X7" i="23"/>
  <c r="Y7" i="23"/>
  <c r="Z7" i="23"/>
  <c r="AA7" i="23"/>
  <c r="D2" i="23"/>
  <c r="E2" i="23"/>
  <c r="F2" i="23"/>
  <c r="G2" i="23"/>
  <c r="H2" i="23"/>
  <c r="I2" i="23"/>
  <c r="J2" i="23"/>
  <c r="K2" i="23"/>
  <c r="L2" i="23"/>
  <c r="M2" i="23"/>
  <c r="N2" i="23"/>
  <c r="O2" i="23"/>
  <c r="P2" i="23"/>
  <c r="Q2" i="23"/>
  <c r="R2" i="23"/>
  <c r="S2" i="23"/>
  <c r="T2" i="23"/>
  <c r="U2" i="23"/>
  <c r="V2" i="23"/>
  <c r="W2" i="23"/>
  <c r="X2" i="23"/>
  <c r="Y2" i="23"/>
  <c r="Z2" i="23"/>
  <c r="AA2" i="23"/>
  <c r="B2" i="23"/>
  <c r="B8" i="23"/>
  <c r="B9" i="23"/>
  <c r="E26" i="28" l="1"/>
  <c r="E30" i="28"/>
  <c r="E25" i="28"/>
  <c r="E29" i="28"/>
  <c r="E27" i="28"/>
  <c r="E24" i="28"/>
  <c r="E28" i="28"/>
  <c r="E22" i="28"/>
  <c r="E23" i="28"/>
  <c r="E17" i="28"/>
  <c r="F16" i="28"/>
  <c r="F22" i="28" s="1"/>
  <c r="E8" i="23"/>
  <c r="E9" i="23"/>
  <c r="D9" i="23"/>
  <c r="D8" i="23"/>
  <c r="C9" i="23"/>
  <c r="C8" i="23"/>
  <c r="S18" i="19" a="1"/>
  <c r="S18" i="19" s="1"/>
  <c r="K8" i="19"/>
  <c r="G7" i="18"/>
  <c r="P16" i="24"/>
  <c r="P7" i="24"/>
  <c r="P8" i="24"/>
  <c r="P9" i="24"/>
  <c r="P11" i="24"/>
  <c r="P12" i="24"/>
  <c r="P13" i="24"/>
  <c r="P14" i="24"/>
  <c r="P15" i="24"/>
  <c r="D6" i="24"/>
  <c r="D7" i="24"/>
  <c r="D8" i="24"/>
  <c r="D9" i="24"/>
  <c r="D10" i="24"/>
  <c r="D11" i="24"/>
  <c r="D13" i="24"/>
  <c r="D14" i="24"/>
  <c r="D15" i="24"/>
  <c r="D16" i="24"/>
  <c r="D17" i="24"/>
  <c r="D5" i="24"/>
  <c r="C6" i="24"/>
  <c r="C7" i="24"/>
  <c r="C8" i="24"/>
  <c r="C9" i="24"/>
  <c r="C10" i="24"/>
  <c r="C11" i="24"/>
  <c r="C12" i="24"/>
  <c r="C13" i="24"/>
  <c r="C15" i="24"/>
  <c r="C16" i="24"/>
  <c r="C17" i="24"/>
  <c r="C5" i="24"/>
  <c r="B6" i="24"/>
  <c r="B7" i="24"/>
  <c r="B8" i="24"/>
  <c r="B9" i="24"/>
  <c r="B10" i="24"/>
  <c r="B11" i="24"/>
  <c r="B12" i="24"/>
  <c r="B14" i="24"/>
  <c r="B15" i="24"/>
  <c r="B16" i="24"/>
  <c r="B17" i="24"/>
  <c r="B5" i="24"/>
  <c r="Q17" i="22"/>
  <c r="O6" i="22"/>
  <c r="O18" i="22"/>
  <c r="O9" i="22"/>
  <c r="O7" i="22"/>
  <c r="O8" i="22"/>
  <c r="O10" i="22"/>
  <c r="O11" i="22"/>
  <c r="O12" i="22"/>
  <c r="O13" i="22"/>
  <c r="O14" i="22"/>
  <c r="O15" i="22"/>
  <c r="O16" i="22"/>
  <c r="O17" i="22"/>
  <c r="O19" i="22"/>
  <c r="O20" i="22"/>
  <c r="O21" i="22"/>
  <c r="O22" i="22"/>
  <c r="O23" i="22"/>
  <c r="O24" i="22"/>
  <c r="N6" i="22"/>
  <c r="F23" i="28" l="1"/>
  <c r="F27" i="28"/>
  <c r="F26" i="28"/>
  <c r="F30" i="28"/>
  <c r="F24" i="28"/>
  <c r="F25" i="28"/>
  <c r="F29" i="28"/>
  <c r="F28" i="28"/>
  <c r="F17" i="28"/>
  <c r="G16" i="28"/>
  <c r="F8" i="23"/>
  <c r="F9" i="23"/>
  <c r="K3" i="16" a="1"/>
  <c r="K3" i="16" s="1"/>
  <c r="AC10" i="22"/>
  <c r="AD11" i="22"/>
  <c r="AC19" i="22"/>
  <c r="AC7" i="22"/>
  <c r="AC8" i="22"/>
  <c r="AC9" i="22"/>
  <c r="AC11" i="22"/>
  <c r="AC12" i="22"/>
  <c r="AC13" i="22"/>
  <c r="AC14" i="22"/>
  <c r="AC15" i="22"/>
  <c r="AC16" i="22"/>
  <c r="AC17" i="22"/>
  <c r="AC18" i="22"/>
  <c r="AC6" i="22"/>
  <c r="V19" i="22"/>
  <c r="V7" i="22"/>
  <c r="V8" i="22"/>
  <c r="V9" i="22"/>
  <c r="V10" i="22"/>
  <c r="V11" i="22"/>
  <c r="V12" i="22"/>
  <c r="V13" i="22"/>
  <c r="V14" i="22"/>
  <c r="V15" i="22"/>
  <c r="V16" i="22"/>
  <c r="V17" i="22"/>
  <c r="V18" i="22"/>
  <c r="V6" i="22"/>
  <c r="W10" i="22"/>
  <c r="N7" i="22"/>
  <c r="N8" i="22"/>
  <c r="N9" i="22"/>
  <c r="N10" i="22"/>
  <c r="N11" i="22"/>
  <c r="N12" i="22"/>
  <c r="N13" i="22"/>
  <c r="N15" i="22"/>
  <c r="N16" i="22"/>
  <c r="N17" i="22"/>
  <c r="N18" i="22"/>
  <c r="N19" i="22"/>
  <c r="N20" i="22"/>
  <c r="N21" i="22"/>
  <c r="N22" i="22"/>
  <c r="N23" i="22"/>
  <c r="N24" i="22"/>
  <c r="D3" i="15"/>
  <c r="D2" i="15"/>
  <c r="I6" i="11"/>
  <c r="G24" i="28" l="1"/>
  <c r="G28" i="28"/>
  <c r="G22" i="28"/>
  <c r="G25" i="28"/>
  <c r="G23" i="28"/>
  <c r="G27" i="28"/>
  <c r="G26" i="28"/>
  <c r="G30" i="28"/>
  <c r="G29" i="28"/>
  <c r="G17" i="28"/>
  <c r="H16" i="28"/>
  <c r="G9" i="23"/>
  <c r="G8" i="23"/>
  <c r="X18" i="21"/>
  <c r="P7" i="21"/>
  <c r="L2" i="15" a="1"/>
  <c r="L2" i="15" s="1"/>
  <c r="I2" i="15"/>
  <c r="D6" i="15"/>
  <c r="T9" i="21"/>
  <c r="X12" i="21"/>
  <c r="P15" i="21"/>
  <c r="H25" i="28" l="1"/>
  <c r="H29" i="28"/>
  <c r="H26" i="28"/>
  <c r="H24" i="28"/>
  <c r="H28" i="28"/>
  <c r="H22" i="28"/>
  <c r="H23" i="28"/>
  <c r="H27" i="28"/>
  <c r="H30" i="28"/>
  <c r="H17" i="28"/>
  <c r="I16" i="28"/>
  <c r="H8" i="23"/>
  <c r="H9" i="23"/>
  <c r="V17" i="21"/>
  <c r="T11" i="21"/>
  <c r="T13" i="21"/>
  <c r="R18" i="21"/>
  <c r="P10" i="21"/>
  <c r="I26" i="28" l="1"/>
  <c r="I30" i="28"/>
  <c r="I27" i="28"/>
  <c r="I25" i="28"/>
  <c r="I29" i="28"/>
  <c r="I23" i="28"/>
  <c r="I24" i="28"/>
  <c r="I28" i="28"/>
  <c r="I22" i="28"/>
  <c r="I17" i="28"/>
  <c r="J16" i="28"/>
  <c r="I8" i="23"/>
  <c r="I9" i="23"/>
  <c r="I10" i="4"/>
  <c r="L10" i="4"/>
  <c r="J3" i="20"/>
  <c r="J2" i="20"/>
  <c r="I1" i="20"/>
  <c r="I13" i="14"/>
  <c r="I12" i="14"/>
  <c r="I11" i="14"/>
  <c r="I20" i="14"/>
  <c r="H20" i="14"/>
  <c r="I19" i="14"/>
  <c r="H19" i="14"/>
  <c r="I18" i="14"/>
  <c r="H18" i="14"/>
  <c r="I17" i="14"/>
  <c r="H17" i="14"/>
  <c r="I16" i="14"/>
  <c r="H16" i="14"/>
  <c r="I15" i="14"/>
  <c r="H15" i="14"/>
  <c r="I14" i="14"/>
  <c r="H14" i="14"/>
  <c r="H13" i="14"/>
  <c r="H12" i="14"/>
  <c r="H11" i="14"/>
  <c r="J4" i="20"/>
  <c r="J5" i="20"/>
  <c r="J6" i="20"/>
  <c r="J7" i="20"/>
  <c r="J8" i="20"/>
  <c r="J9" i="20"/>
  <c r="J10" i="20"/>
  <c r="J1" i="20"/>
  <c r="J23" i="28" l="1"/>
  <c r="J27" i="28"/>
  <c r="J24" i="28"/>
  <c r="J26" i="28"/>
  <c r="J30" i="28"/>
  <c r="J25" i="28"/>
  <c r="J29" i="28"/>
  <c r="J28" i="28"/>
  <c r="J22" i="28"/>
  <c r="J17" i="28"/>
  <c r="K16" i="28"/>
  <c r="J8" i="23"/>
  <c r="J9" i="23"/>
  <c r="I2" i="20"/>
  <c r="I3" i="20"/>
  <c r="I4" i="20"/>
  <c r="I5" i="20"/>
  <c r="I7" i="20"/>
  <c r="I8" i="20"/>
  <c r="I9" i="20"/>
  <c r="I10" i="20"/>
  <c r="N6" i="17"/>
  <c r="M14" i="11"/>
  <c r="L11" i="11"/>
  <c r="M19" i="11"/>
  <c r="M16" i="11"/>
  <c r="K24" i="28" l="1"/>
  <c r="K28" i="28"/>
  <c r="K22" i="28"/>
  <c r="K23" i="28"/>
  <c r="K27" i="28"/>
  <c r="K25" i="28"/>
  <c r="K26" i="28"/>
  <c r="K30" i="28"/>
  <c r="K29" i="28"/>
  <c r="K17" i="28"/>
  <c r="L16" i="28"/>
  <c r="K9" i="23"/>
  <c r="K8" i="23"/>
  <c r="D4" i="20"/>
  <c r="D3" i="20"/>
  <c r="D13" i="20"/>
  <c r="E13" i="20"/>
  <c r="E7" i="20"/>
  <c r="E8" i="20"/>
  <c r="E9" i="20"/>
  <c r="E10" i="20"/>
  <c r="E11" i="20"/>
  <c r="E12" i="20"/>
  <c r="E14" i="20"/>
  <c r="E15" i="20"/>
  <c r="E16" i="20"/>
  <c r="E17" i="20"/>
  <c r="E19" i="20"/>
  <c r="E3" i="20"/>
  <c r="E4" i="20"/>
  <c r="E5" i="20"/>
  <c r="E6" i="20"/>
  <c r="J5" i="14"/>
  <c r="D5" i="20"/>
  <c r="D6" i="20"/>
  <c r="D7" i="20"/>
  <c r="D8" i="20"/>
  <c r="D9" i="20"/>
  <c r="D10" i="20"/>
  <c r="D11" i="20"/>
  <c r="D12" i="20"/>
  <c r="D14" i="20"/>
  <c r="D15" i="20"/>
  <c r="D16" i="20"/>
  <c r="D17" i="20"/>
  <c r="D18" i="20"/>
  <c r="D19" i="20"/>
  <c r="D2" i="20"/>
  <c r="E2" i="20"/>
  <c r="L25" i="28" l="1"/>
  <c r="L29" i="28"/>
  <c r="L24" i="28"/>
  <c r="L28" i="28"/>
  <c r="L22" i="28"/>
  <c r="L26" i="28"/>
  <c r="L23" i="28"/>
  <c r="L27" i="28"/>
  <c r="L30" i="28"/>
  <c r="L17" i="28"/>
  <c r="M16" i="28"/>
  <c r="L8" i="23"/>
  <c r="L9" i="23"/>
  <c r="C13" i="14"/>
  <c r="J3" i="14"/>
  <c r="C9" i="14"/>
  <c r="C10" i="14"/>
  <c r="C11" i="14"/>
  <c r="C12" i="14"/>
  <c r="B9" i="14"/>
  <c r="B10" i="14"/>
  <c r="B11" i="14"/>
  <c r="B12" i="14"/>
  <c r="B13" i="14"/>
  <c r="B8" i="14"/>
  <c r="K2" i="14"/>
  <c r="L2" i="14"/>
  <c r="M2" i="14"/>
  <c r="N2" i="14"/>
  <c r="O2" i="14"/>
  <c r="P2" i="14"/>
  <c r="Q2" i="14"/>
  <c r="K3" i="14"/>
  <c r="L3" i="14"/>
  <c r="M3" i="14"/>
  <c r="N3" i="14"/>
  <c r="O3" i="14"/>
  <c r="P3" i="14"/>
  <c r="Q3" i="14"/>
  <c r="K4" i="14"/>
  <c r="L4" i="14"/>
  <c r="M4" i="14"/>
  <c r="N4" i="14"/>
  <c r="O4" i="14"/>
  <c r="P4" i="14"/>
  <c r="Q4" i="14"/>
  <c r="K5" i="14"/>
  <c r="L5" i="14"/>
  <c r="M5" i="14"/>
  <c r="N5" i="14"/>
  <c r="O5" i="14"/>
  <c r="P5" i="14"/>
  <c r="Q5" i="14"/>
  <c r="K6" i="14"/>
  <c r="L6" i="14"/>
  <c r="M6" i="14"/>
  <c r="N6" i="14"/>
  <c r="O6" i="14"/>
  <c r="P6" i="14"/>
  <c r="Q6" i="14"/>
  <c r="J6" i="14"/>
  <c r="J4" i="14"/>
  <c r="E42" i="19"/>
  <c r="E37" i="19"/>
  <c r="E38" i="19" s="1"/>
  <c r="E36" i="19"/>
  <c r="E31" i="19"/>
  <c r="O8" i="19" s="1"/>
  <c r="T20" i="19" s="1" a="1"/>
  <c r="T20" i="19" s="1"/>
  <c r="E30" i="19"/>
  <c r="E24" i="19"/>
  <c r="E10" i="19"/>
  <c r="L17" i="11"/>
  <c r="K55" i="13" a="1"/>
  <c r="K55" i="13" s="1"/>
  <c r="L53" i="18" a="1"/>
  <c r="L53" i="18" s="1"/>
  <c r="L11" i="19"/>
  <c r="L10" i="19"/>
  <c r="K9" i="19"/>
  <c r="K21" i="19" s="1" a="1"/>
  <c r="K21" i="19" s="1"/>
  <c r="S8" i="19"/>
  <c r="U20" i="19" s="1" a="1"/>
  <c r="U20" i="19" s="1"/>
  <c r="S20" i="19" a="1"/>
  <c r="S20" i="19" s="1"/>
  <c r="S7" i="19"/>
  <c r="U19" i="19" s="1" a="1"/>
  <c r="U19" i="19" s="1"/>
  <c r="O7" i="19"/>
  <c r="T19" i="19" s="1" a="1"/>
  <c r="T19" i="19" s="1"/>
  <c r="K7" i="19"/>
  <c r="S19" i="19" s="1" a="1"/>
  <c r="S19" i="19" s="1"/>
  <c r="V6" i="19"/>
  <c r="U6" i="19"/>
  <c r="T6" i="19"/>
  <c r="N18" i="19" s="1" a="1"/>
  <c r="N18" i="19" s="1"/>
  <c r="S6" i="19"/>
  <c r="U18" i="19" s="1" a="1"/>
  <c r="U18" i="19" s="1"/>
  <c r="R6" i="19"/>
  <c r="Q6" i="19"/>
  <c r="P6" i="19"/>
  <c r="O6" i="19"/>
  <c r="T18" i="19" s="1" a="1"/>
  <c r="T18" i="19" s="1"/>
  <c r="N6" i="19"/>
  <c r="M6" i="19"/>
  <c r="L6" i="19"/>
  <c r="K6" i="19"/>
  <c r="K18" i="19" s="1" a="1"/>
  <c r="K18" i="19" s="1"/>
  <c r="E72" i="19"/>
  <c r="E73" i="19" s="1"/>
  <c r="E74" i="19" s="1"/>
  <c r="E75" i="19" s="1"/>
  <c r="E76" i="19" s="1"/>
  <c r="V11" i="19" s="1"/>
  <c r="E67" i="19"/>
  <c r="E68" i="19" s="1"/>
  <c r="E69" i="19" s="1"/>
  <c r="E70" i="19" s="1"/>
  <c r="U11" i="19" s="1"/>
  <c r="E66" i="19"/>
  <c r="U7" i="19" s="1"/>
  <c r="E61" i="19"/>
  <c r="E62" i="19" s="1"/>
  <c r="E63" i="19" s="1"/>
  <c r="E64" i="19" s="1"/>
  <c r="T11" i="19" s="1"/>
  <c r="V23" i="19" s="1" a="1"/>
  <c r="V23" i="19" s="1"/>
  <c r="E60" i="19"/>
  <c r="T7" i="19" s="1"/>
  <c r="N19" i="19" s="1" a="1"/>
  <c r="N19" i="19" s="1"/>
  <c r="E54" i="19"/>
  <c r="E55" i="19" s="1"/>
  <c r="E56" i="19" s="1"/>
  <c r="E57" i="19" s="1"/>
  <c r="E58" i="19" s="1"/>
  <c r="S11" i="19" s="1"/>
  <c r="U23" i="19" s="1" a="1"/>
  <c r="U23" i="19" s="1"/>
  <c r="E48" i="19"/>
  <c r="E49" i="19" s="1"/>
  <c r="E50" i="19" s="1"/>
  <c r="E51" i="19" s="1"/>
  <c r="E52" i="19" s="1"/>
  <c r="R11" i="19" s="1"/>
  <c r="E43" i="19"/>
  <c r="E44" i="19" s="1"/>
  <c r="E45" i="19" s="1"/>
  <c r="E46" i="19" s="1"/>
  <c r="Q11" i="19" s="1"/>
  <c r="E25" i="19"/>
  <c r="E26" i="19" s="1"/>
  <c r="E27" i="19" s="1"/>
  <c r="E28" i="19" s="1"/>
  <c r="N11" i="19" s="1"/>
  <c r="E19" i="19"/>
  <c r="E20" i="19" s="1"/>
  <c r="E21" i="19" s="1"/>
  <c r="E22" i="19" s="1"/>
  <c r="M11" i="19" s="1"/>
  <c r="E18" i="19"/>
  <c r="M7" i="19" s="1"/>
  <c r="E12" i="19"/>
  <c r="E13" i="19" s="1"/>
  <c r="E14" i="19" s="1"/>
  <c r="E15" i="19" s="1"/>
  <c r="E16" i="19" s="1"/>
  <c r="E6" i="19"/>
  <c r="E7" i="19" s="1"/>
  <c r="E8" i="19" s="1"/>
  <c r="E9" i="19" s="1"/>
  <c r="K11" i="19" s="1"/>
  <c r="K23" i="19" s="1" a="1"/>
  <c r="K23" i="19" s="1"/>
  <c r="K52" i="18" a="1"/>
  <c r="K52" i="18" s="1"/>
  <c r="N53" i="18" a="1"/>
  <c r="N53" i="18" s="1"/>
  <c r="N54" i="18" a="1"/>
  <c r="N54" i="18"/>
  <c r="N55" i="18" a="1"/>
  <c r="N55" i="18" s="1"/>
  <c r="N56" i="18" a="1"/>
  <c r="N56" i="18"/>
  <c r="N57" i="18" a="1"/>
  <c r="N57" i="18" s="1"/>
  <c r="N52" i="18" a="1"/>
  <c r="N52" i="18" s="1"/>
  <c r="S38" i="18"/>
  <c r="M52" i="18" s="1" a="1"/>
  <c r="M52" i="18" s="1"/>
  <c r="M54" i="18" a="1"/>
  <c r="M54" i="18" s="1"/>
  <c r="M53" i="18" a="1"/>
  <c r="M53" i="18" s="1"/>
  <c r="M55" i="18" a="1"/>
  <c r="M55" i="18" s="1"/>
  <c r="M56" i="18" a="1"/>
  <c r="M56" i="18" s="1"/>
  <c r="M57" i="18" a="1"/>
  <c r="M57" i="18" s="1"/>
  <c r="D8" i="15"/>
  <c r="D5" i="15"/>
  <c r="K5" i="6"/>
  <c r="K4" i="6"/>
  <c r="C4" i="5"/>
  <c r="K45" i="18" a="1"/>
  <c r="K45" i="18" s="1"/>
  <c r="M26" i="28" l="1"/>
  <c r="M30" i="28"/>
  <c r="M25" i="28"/>
  <c r="M29" i="28"/>
  <c r="M24" i="28"/>
  <c r="M28" i="28"/>
  <c r="M22" i="28"/>
  <c r="M23" i="28"/>
  <c r="M27" i="28"/>
  <c r="M17" i="28"/>
  <c r="N16" i="28"/>
  <c r="M8" i="23"/>
  <c r="M9" i="23"/>
  <c r="E39" i="19"/>
  <c r="P9" i="19"/>
  <c r="E32" i="19"/>
  <c r="E33" i="19" s="1"/>
  <c r="E34" i="19" s="1"/>
  <c r="O11" i="19" s="1"/>
  <c r="T23" i="19" s="1" a="1"/>
  <c r="T23" i="19" s="1"/>
  <c r="N23" i="19" a="1"/>
  <c r="N23" i="19" s="1"/>
  <c r="M20" i="19" a="1"/>
  <c r="M20" i="19" s="1"/>
  <c r="S21" i="19" a="1"/>
  <c r="S21" i="19" s="1"/>
  <c r="V19" i="19" a="1"/>
  <c r="V19" i="19" s="1"/>
  <c r="M23" i="19" a="1"/>
  <c r="M23" i="19" s="1"/>
  <c r="V18" i="19" a="1"/>
  <c r="V18" i="19" s="1"/>
  <c r="M19" i="19" a="1"/>
  <c r="M19" i="19" s="1"/>
  <c r="S23" i="19" a="1"/>
  <c r="S23" i="19" s="1"/>
  <c r="K19" i="19" a="1"/>
  <c r="K19" i="19" s="1"/>
  <c r="L20" i="19" a="1"/>
  <c r="L20" i="19" s="1"/>
  <c r="M18" i="19" a="1"/>
  <c r="M18" i="19" s="1"/>
  <c r="L23" i="19" a="1"/>
  <c r="L23" i="19" s="1"/>
  <c r="L19" i="19" a="1"/>
  <c r="L19" i="19" s="1"/>
  <c r="L18" i="19" a="1"/>
  <c r="L18" i="19" s="1"/>
  <c r="T9" i="19"/>
  <c r="T10" i="19"/>
  <c r="L7" i="19"/>
  <c r="P7" i="19"/>
  <c r="L8" i="19"/>
  <c r="P8" i="19"/>
  <c r="T8" i="19"/>
  <c r="L9" i="19"/>
  <c r="Q9" i="19"/>
  <c r="U9" i="19"/>
  <c r="M10" i="19"/>
  <c r="Q10" i="19"/>
  <c r="U10" i="19"/>
  <c r="Q7" i="19"/>
  <c r="M8" i="19"/>
  <c r="Q8" i="19"/>
  <c r="U8" i="19"/>
  <c r="M9" i="19"/>
  <c r="R9" i="19"/>
  <c r="V9" i="19"/>
  <c r="N10" i="19"/>
  <c r="R10" i="19"/>
  <c r="V10" i="19"/>
  <c r="N7" i="19"/>
  <c r="R7" i="19"/>
  <c r="V7" i="19"/>
  <c r="N8" i="19"/>
  <c r="R8" i="19"/>
  <c r="V8" i="19"/>
  <c r="O9" i="19"/>
  <c r="S9" i="19"/>
  <c r="K10" i="19"/>
  <c r="O10" i="19"/>
  <c r="S10" i="19"/>
  <c r="N9" i="19"/>
  <c r="J4" i="6"/>
  <c r="K6" i="6"/>
  <c r="J5" i="6"/>
  <c r="L25" i="18" a="1"/>
  <c r="L25" i="18" s="1"/>
  <c r="M18" i="18"/>
  <c r="L46" i="13" a="1"/>
  <c r="L46" i="13" s="1"/>
  <c r="K54" i="13" a="1"/>
  <c r="K54" i="13" s="1"/>
  <c r="L54" i="13" a="1"/>
  <c r="L54" i="13" s="1"/>
  <c r="L55" i="13" a="1"/>
  <c r="L55" i="13"/>
  <c r="L56" i="13" a="1"/>
  <c r="L56" i="13" s="1"/>
  <c r="L57" i="13" a="1"/>
  <c r="L57" i="13"/>
  <c r="L58" i="13" a="1"/>
  <c r="L58" i="13" s="1"/>
  <c r="L59" i="13" a="1"/>
  <c r="L59" i="13" s="1"/>
  <c r="K56" i="13" a="1"/>
  <c r="K56" i="13"/>
  <c r="K57" i="13" a="1"/>
  <c r="K57" i="13" s="1"/>
  <c r="K58" i="13" a="1"/>
  <c r="K58" i="13"/>
  <c r="K59" i="13" a="1"/>
  <c r="K59" i="13" s="1"/>
  <c r="L52" i="18" a="1"/>
  <c r="L52" i="18" s="1"/>
  <c r="O39" i="18"/>
  <c r="L13" i="17"/>
  <c r="L54" i="18" a="1"/>
  <c r="L54" i="18" s="1"/>
  <c r="L55" i="18" a="1"/>
  <c r="L55" i="18" s="1"/>
  <c r="L56" i="18" a="1"/>
  <c r="L56" i="18" s="1"/>
  <c r="L57" i="18" a="1"/>
  <c r="L57" i="18" s="1"/>
  <c r="K54" i="18" a="1"/>
  <c r="K54" i="18" s="1"/>
  <c r="K55" i="18" a="1"/>
  <c r="K55" i="18" s="1"/>
  <c r="K56" i="18" a="1"/>
  <c r="K56" i="18" s="1"/>
  <c r="K57" i="18" a="1"/>
  <c r="K57" i="18" s="1"/>
  <c r="L38" i="18"/>
  <c r="L12" i="17"/>
  <c r="N14" i="17"/>
  <c r="M13" i="17"/>
  <c r="N23" i="28" l="1"/>
  <c r="N27" i="28"/>
  <c r="N26" i="28"/>
  <c r="N30" i="28"/>
  <c r="N24" i="28"/>
  <c r="N25" i="28"/>
  <c r="N29" i="28"/>
  <c r="N22" i="28"/>
  <c r="N28" i="28"/>
  <c r="N17" i="28"/>
  <c r="O16" i="28"/>
  <c r="N8" i="23"/>
  <c r="N9" i="23"/>
  <c r="E40" i="19"/>
  <c r="P11" i="19" s="1"/>
  <c r="P10" i="19"/>
  <c r="S22" i="19" a="1"/>
  <c r="S22" i="19" s="1"/>
  <c r="K22" i="19" a="1"/>
  <c r="K22" i="19" s="1"/>
  <c r="N20" i="19" a="1"/>
  <c r="N20" i="19" s="1"/>
  <c r="V20" i="19" a="1"/>
  <c r="V20" i="19" s="1"/>
  <c r="V22" i="19" a="1"/>
  <c r="V22" i="19" s="1"/>
  <c r="N22" i="19" a="1"/>
  <c r="N22" i="19" s="1"/>
  <c r="V21" i="19" a="1"/>
  <c r="V21" i="19" s="1"/>
  <c r="N21" i="19" a="1"/>
  <c r="N21" i="19" s="1"/>
  <c r="M21" i="19" a="1"/>
  <c r="M21" i="19" s="1"/>
  <c r="U21" i="19" a="1"/>
  <c r="U21" i="19" s="1"/>
  <c r="U22" i="19" a="1"/>
  <c r="U22" i="19" s="1"/>
  <c r="M22" i="19" a="1"/>
  <c r="M22" i="19" s="1"/>
  <c r="T21" i="19" a="1"/>
  <c r="T21" i="19" s="1"/>
  <c r="L21" i="19" a="1"/>
  <c r="L21" i="19" s="1"/>
  <c r="T22" i="19" a="1"/>
  <c r="T22" i="19" s="1"/>
  <c r="L22" i="19" a="1"/>
  <c r="L22" i="19" s="1"/>
  <c r="M12" i="17"/>
  <c r="O24" i="28" l="1"/>
  <c r="O28" i="28"/>
  <c r="O22" i="28"/>
  <c r="O25" i="28"/>
  <c r="O23" i="28"/>
  <c r="O27" i="28"/>
  <c r="O26" i="28"/>
  <c r="O30" i="28"/>
  <c r="O29" i="28"/>
  <c r="O17" i="28"/>
  <c r="P16" i="28"/>
  <c r="O8" i="23"/>
  <c r="O9" i="23"/>
  <c r="M40" i="13"/>
  <c r="W38" i="18"/>
  <c r="V38" i="18"/>
  <c r="U38" i="18"/>
  <c r="T38" i="18"/>
  <c r="R38" i="18"/>
  <c r="Q38" i="18"/>
  <c r="P38" i="18"/>
  <c r="O38" i="18"/>
  <c r="N38" i="18"/>
  <c r="M38" i="18"/>
  <c r="N19" i="18"/>
  <c r="O23" i="18"/>
  <c r="N23" i="18"/>
  <c r="M23" i="18"/>
  <c r="O22" i="18"/>
  <c r="N22" i="18"/>
  <c r="M22" i="18"/>
  <c r="O21" i="18"/>
  <c r="N21" i="18"/>
  <c r="M21" i="18"/>
  <c r="O20" i="18"/>
  <c r="N20" i="18"/>
  <c r="M20" i="18"/>
  <c r="O19" i="18"/>
  <c r="M19" i="18"/>
  <c r="O18" i="18"/>
  <c r="N18" i="18"/>
  <c r="P25" i="28" l="1"/>
  <c r="P29" i="28"/>
  <c r="P26" i="28"/>
  <c r="P24" i="28"/>
  <c r="P28" i="28"/>
  <c r="P22" i="28"/>
  <c r="P23" i="28"/>
  <c r="P27" i="28"/>
  <c r="P30" i="28"/>
  <c r="P17" i="28"/>
  <c r="Q16" i="28"/>
  <c r="P8" i="23"/>
  <c r="P9" i="23"/>
  <c r="F2" i="15"/>
  <c r="E103" i="18"/>
  <c r="E97" i="18"/>
  <c r="E91" i="18"/>
  <c r="E85" i="18"/>
  <c r="T39" i="18" s="1"/>
  <c r="E79" i="18"/>
  <c r="E73" i="18"/>
  <c r="E67" i="18"/>
  <c r="E61" i="18"/>
  <c r="E55" i="18"/>
  <c r="E49" i="18"/>
  <c r="E43" i="18"/>
  <c r="E37" i="18"/>
  <c r="L39" i="18" s="1"/>
  <c r="N4" i="17"/>
  <c r="Q26" i="28" l="1"/>
  <c r="Q30" i="28"/>
  <c r="Q25" i="28"/>
  <c r="Q29" i="28"/>
  <c r="Q23" i="28"/>
  <c r="Q24" i="28"/>
  <c r="Q28" i="28"/>
  <c r="Q22" i="28"/>
  <c r="Q27" i="28"/>
  <c r="Q17" i="28"/>
  <c r="R16" i="28"/>
  <c r="Q8" i="23"/>
  <c r="Q9" i="23"/>
  <c r="E56" i="18"/>
  <c r="E98" i="18"/>
  <c r="V39" i="18"/>
  <c r="E62" i="18"/>
  <c r="P39" i="18"/>
  <c r="E104" i="18"/>
  <c r="W39" i="18"/>
  <c r="E80" i="18"/>
  <c r="S39" i="18"/>
  <c r="E38" i="18"/>
  <c r="E44" i="18"/>
  <c r="M39" i="18"/>
  <c r="E86" i="18"/>
  <c r="E68" i="18"/>
  <c r="Q39" i="18"/>
  <c r="E50" i="18"/>
  <c r="N39" i="18"/>
  <c r="E74" i="18"/>
  <c r="R39" i="18"/>
  <c r="E92" i="18"/>
  <c r="U39" i="18"/>
  <c r="M42" i="13"/>
  <c r="L41" i="13"/>
  <c r="A31" i="17"/>
  <c r="R14" i="17"/>
  <c r="Q14" i="17"/>
  <c r="P14" i="17"/>
  <c r="O14" i="17"/>
  <c r="M14" i="17"/>
  <c r="L14" i="17"/>
  <c r="R13" i="17"/>
  <c r="Q13" i="17"/>
  <c r="P13" i="17"/>
  <c r="O13" i="17"/>
  <c r="N13" i="17"/>
  <c r="R12" i="17"/>
  <c r="Q12" i="17"/>
  <c r="P12" i="17"/>
  <c r="O12" i="17"/>
  <c r="N12" i="17"/>
  <c r="F33" i="13"/>
  <c r="R23" i="28" l="1"/>
  <c r="R27" i="28"/>
  <c r="R24" i="28"/>
  <c r="R26" i="28"/>
  <c r="R30" i="28"/>
  <c r="R25" i="28"/>
  <c r="R29" i="28"/>
  <c r="R22" i="28"/>
  <c r="R28" i="28"/>
  <c r="R17" i="28"/>
  <c r="S16" i="28"/>
  <c r="R9" i="23"/>
  <c r="R8" i="23"/>
  <c r="E75" i="18"/>
  <c r="R40" i="18"/>
  <c r="E69" i="18"/>
  <c r="Q40" i="18"/>
  <c r="E39" i="18"/>
  <c r="L40" i="18"/>
  <c r="E105" i="18"/>
  <c r="W40" i="18"/>
  <c r="E99" i="18"/>
  <c r="V40" i="18"/>
  <c r="E45" i="18"/>
  <c r="M40" i="18"/>
  <c r="E87" i="18"/>
  <c r="T40" i="18"/>
  <c r="E93" i="18"/>
  <c r="U40" i="18"/>
  <c r="E51" i="18"/>
  <c r="N40" i="18"/>
  <c r="E81" i="18"/>
  <c r="S40" i="18"/>
  <c r="E63" i="18"/>
  <c r="P40" i="18"/>
  <c r="E57" i="18"/>
  <c r="O40" i="18"/>
  <c r="E10" i="3"/>
  <c r="D10" i="3"/>
  <c r="K20" i="13"/>
  <c r="L39" i="13"/>
  <c r="N39" i="13"/>
  <c r="M41" i="13"/>
  <c r="L40" i="13"/>
  <c r="L42" i="13"/>
  <c r="L43" i="13"/>
  <c r="M43" i="13"/>
  <c r="L44" i="13"/>
  <c r="M44" i="13"/>
  <c r="M39" i="13"/>
  <c r="F41" i="13"/>
  <c r="F34" i="13"/>
  <c r="F35" i="13"/>
  <c r="F36" i="13"/>
  <c r="F37" i="13"/>
  <c r="F38" i="13"/>
  <c r="F39" i="13"/>
  <c r="F40"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F67" i="13"/>
  <c r="F68" i="13"/>
  <c r="F69" i="13"/>
  <c r="F70" i="13"/>
  <c r="F71" i="13"/>
  <c r="F72" i="13"/>
  <c r="F73" i="13"/>
  <c r="F74" i="13"/>
  <c r="F75" i="13"/>
  <c r="F76" i="13"/>
  <c r="F77" i="13"/>
  <c r="F78" i="13"/>
  <c r="F79" i="13"/>
  <c r="F80" i="13"/>
  <c r="F81" i="13"/>
  <c r="F82" i="13"/>
  <c r="F83" i="13"/>
  <c r="F84" i="13"/>
  <c r="F85" i="13"/>
  <c r="F86" i="13"/>
  <c r="F87" i="13"/>
  <c r="F88" i="13"/>
  <c r="F89" i="13"/>
  <c r="F90" i="13"/>
  <c r="F91" i="13"/>
  <c r="F92" i="13"/>
  <c r="F93" i="13"/>
  <c r="F94" i="13"/>
  <c r="F95" i="13"/>
  <c r="F96" i="13"/>
  <c r="F97" i="13"/>
  <c r="F98" i="13"/>
  <c r="F99" i="13"/>
  <c r="F100" i="13"/>
  <c r="F101" i="13"/>
  <c r="F102" i="13"/>
  <c r="F103" i="13"/>
  <c r="F104" i="13"/>
  <c r="S24" i="28" l="1"/>
  <c r="S28" i="28"/>
  <c r="S22" i="28"/>
  <c r="S23" i="28"/>
  <c r="S27" i="28"/>
  <c r="S25" i="28"/>
  <c r="S26" i="28"/>
  <c r="S30" i="28"/>
  <c r="S29" i="28"/>
  <c r="S17" i="28"/>
  <c r="T16" i="28"/>
  <c r="S8" i="23"/>
  <c r="S9" i="23"/>
  <c r="E58" i="18"/>
  <c r="O41" i="18"/>
  <c r="E82" i="18"/>
  <c r="S41" i="18"/>
  <c r="E94" i="18"/>
  <c r="U41" i="18"/>
  <c r="E46" i="18"/>
  <c r="M41" i="18"/>
  <c r="E106" i="18"/>
  <c r="W41" i="18"/>
  <c r="E70" i="18"/>
  <c r="Q41" i="18"/>
  <c r="E64" i="18"/>
  <c r="P41" i="18"/>
  <c r="E52" i="18"/>
  <c r="N41" i="18"/>
  <c r="E88" i="18"/>
  <c r="T41" i="18"/>
  <c r="E100" i="18"/>
  <c r="V41" i="18"/>
  <c r="E40" i="18"/>
  <c r="L41" i="18"/>
  <c r="E76" i="18"/>
  <c r="R41" i="18"/>
  <c r="N40" i="13"/>
  <c r="N44" i="13"/>
  <c r="N42" i="13"/>
  <c r="O43" i="13"/>
  <c r="N43" i="13"/>
  <c r="D19" i="15"/>
  <c r="D18" i="15"/>
  <c r="D17" i="15"/>
  <c r="D16" i="15"/>
  <c r="D15" i="15"/>
  <c r="D14" i="15"/>
  <c r="D13" i="15"/>
  <c r="D12" i="15"/>
  <c r="D11" i="15"/>
  <c r="D10" i="15"/>
  <c r="D9" i="15"/>
  <c r="D7" i="15"/>
  <c r="D4" i="15"/>
  <c r="C19" i="15"/>
  <c r="C18" i="15"/>
  <c r="C17" i="15"/>
  <c r="C16" i="15"/>
  <c r="C15" i="15"/>
  <c r="C14" i="15"/>
  <c r="C13" i="15"/>
  <c r="C12" i="15"/>
  <c r="C11" i="15"/>
  <c r="C10" i="15"/>
  <c r="C9" i="15"/>
  <c r="C8" i="15"/>
  <c r="C7" i="15"/>
  <c r="C6" i="15"/>
  <c r="C5" i="15"/>
  <c r="C4" i="15"/>
  <c r="C3" i="15"/>
  <c r="C2" i="15"/>
  <c r="T25" i="28" l="1"/>
  <c r="T29" i="28"/>
  <c r="T24" i="28"/>
  <c r="T28" i="28"/>
  <c r="T22" i="28"/>
  <c r="T26" i="28"/>
  <c r="T23" i="28"/>
  <c r="T27" i="28"/>
  <c r="T30" i="28"/>
  <c r="T17" i="28"/>
  <c r="U16" i="28"/>
  <c r="T8" i="23"/>
  <c r="T9" i="23"/>
  <c r="E77" i="18"/>
  <c r="R43" i="18" s="1"/>
  <c r="R42" i="18"/>
  <c r="E101" i="18"/>
  <c r="V43" i="18" s="1"/>
  <c r="V42" i="18"/>
  <c r="E53" i="18"/>
  <c r="N43" i="18" s="1"/>
  <c r="N42" i="18"/>
  <c r="E71" i="18"/>
  <c r="Q43" i="18" s="1"/>
  <c r="Q42" i="18"/>
  <c r="E47" i="18"/>
  <c r="M43" i="18" s="1"/>
  <c r="M42" i="18"/>
  <c r="E83" i="18"/>
  <c r="S43" i="18" s="1"/>
  <c r="S42" i="18"/>
  <c r="E41" i="18"/>
  <c r="L43" i="18" s="1"/>
  <c r="L42" i="18"/>
  <c r="E89" i="18"/>
  <c r="T43" i="18" s="1"/>
  <c r="T42" i="18"/>
  <c r="E65" i="18"/>
  <c r="P43" i="18" s="1"/>
  <c r="P42" i="18"/>
  <c r="E107" i="18"/>
  <c r="W43" i="18" s="1"/>
  <c r="W42" i="18"/>
  <c r="E95" i="18"/>
  <c r="U43" i="18" s="1"/>
  <c r="U42" i="18"/>
  <c r="E59" i="18"/>
  <c r="O43" i="18" s="1"/>
  <c r="O42" i="18"/>
  <c r="O39" i="13"/>
  <c r="P43" i="13"/>
  <c r="O44" i="13"/>
  <c r="N41" i="13"/>
  <c r="O42" i="13"/>
  <c r="O40" i="13"/>
  <c r="G6" i="14"/>
  <c r="G3" i="14"/>
  <c r="G4" i="14"/>
  <c r="G5" i="14"/>
  <c r="G2" i="14"/>
  <c r="E3" i="14"/>
  <c r="E4" i="14"/>
  <c r="E5" i="14"/>
  <c r="E6" i="14"/>
  <c r="C7" i="5"/>
  <c r="U26" i="28" l="1"/>
  <c r="U30" i="28"/>
  <c r="U25" i="28"/>
  <c r="U29" i="28"/>
  <c r="U24" i="28"/>
  <c r="U28" i="28"/>
  <c r="U22" i="28"/>
  <c r="U23" i="28"/>
  <c r="U27" i="28"/>
  <c r="U17" i="28"/>
  <c r="V16" i="28"/>
  <c r="U8" i="23"/>
  <c r="U9" i="23"/>
  <c r="O41" i="13"/>
  <c r="P40" i="13"/>
  <c r="Q43" i="13"/>
  <c r="P39" i="13"/>
  <c r="P42" i="13"/>
  <c r="P44" i="13"/>
  <c r="F4" i="13"/>
  <c r="D5" i="12"/>
  <c r="V23" i="28" l="1"/>
  <c r="V27" i="28"/>
  <c r="V26" i="28"/>
  <c r="V30" i="28"/>
  <c r="V24" i="28"/>
  <c r="V25" i="28"/>
  <c r="V29" i="28"/>
  <c r="V28" i="28"/>
  <c r="V22" i="28"/>
  <c r="V17" i="28"/>
  <c r="W16" i="28"/>
  <c r="V8" i="23"/>
  <c r="V9" i="23"/>
  <c r="Q44" i="13"/>
  <c r="Q39" i="13"/>
  <c r="Q40" i="13"/>
  <c r="Q42" i="13"/>
  <c r="R43" i="13"/>
  <c r="P41" i="13"/>
  <c r="C6" i="5"/>
  <c r="D12" i="12"/>
  <c r="W24" i="28" l="1"/>
  <c r="W28" i="28"/>
  <c r="W22" i="28"/>
  <c r="W23" i="28"/>
  <c r="W27" i="28"/>
  <c r="W25" i="28"/>
  <c r="W26" i="28"/>
  <c r="W30" i="28"/>
  <c r="W29" i="28"/>
  <c r="W17" i="28"/>
  <c r="X16" i="28"/>
  <c r="W9" i="23"/>
  <c r="W8" i="23"/>
  <c r="Q41" i="13"/>
  <c r="R42" i="13"/>
  <c r="R39" i="13"/>
  <c r="R40" i="13"/>
  <c r="R44" i="13"/>
  <c r="S43" i="13"/>
  <c r="M15" i="11"/>
  <c r="X25" i="28" l="1"/>
  <c r="X29" i="28"/>
  <c r="X26" i="28"/>
  <c r="X24" i="28"/>
  <c r="X28" i="28"/>
  <c r="X22" i="28"/>
  <c r="X23" i="28"/>
  <c r="X27" i="28"/>
  <c r="X30" i="28"/>
  <c r="X17" i="28"/>
  <c r="Y16" i="28"/>
  <c r="X8" i="23"/>
  <c r="X9" i="23"/>
  <c r="S42" i="13"/>
  <c r="T43" i="13"/>
  <c r="S40" i="13"/>
  <c r="S39" i="13"/>
  <c r="R41" i="13"/>
  <c r="S44" i="13"/>
  <c r="I5" i="11"/>
  <c r="H8" i="8"/>
  <c r="H7" i="8"/>
  <c r="Y26" i="28" l="1"/>
  <c r="Y30" i="28"/>
  <c r="Y23" i="28"/>
  <c r="Y25" i="28"/>
  <c r="Y29" i="28"/>
  <c r="Y24" i="28"/>
  <c r="Y28" i="28"/>
  <c r="Y22" i="28"/>
  <c r="Y27" i="28"/>
  <c r="Y17" i="28"/>
  <c r="Z16" i="28"/>
  <c r="Y8" i="23"/>
  <c r="Y9" i="23"/>
  <c r="T44" i="13"/>
  <c r="U43" i="13"/>
  <c r="T39" i="13"/>
  <c r="S41" i="13"/>
  <c r="T40" i="13"/>
  <c r="T42" i="13"/>
  <c r="I5" i="8"/>
  <c r="Z23" i="28" l="1"/>
  <c r="Z27" i="28"/>
  <c r="Z24" i="28"/>
  <c r="Z26" i="28"/>
  <c r="Z30" i="28"/>
  <c r="Z25" i="28"/>
  <c r="Z29" i="28"/>
  <c r="Z28" i="28"/>
  <c r="Z22" i="28"/>
  <c r="Z17" i="28"/>
  <c r="AA16" i="28"/>
  <c r="Z9" i="23"/>
  <c r="Z8" i="23"/>
  <c r="W43" i="13"/>
  <c r="V43" i="13"/>
  <c r="T41" i="13"/>
  <c r="U42" i="13"/>
  <c r="U40" i="13"/>
  <c r="U39" i="13"/>
  <c r="U44" i="13"/>
  <c r="L15" i="4"/>
  <c r="AA24" i="28" l="1"/>
  <c r="AA28" i="28"/>
  <c r="AA22" i="28"/>
  <c r="AA25" i="28"/>
  <c r="AA23" i="28"/>
  <c r="AA27" i="28"/>
  <c r="AA26" i="28"/>
  <c r="AA30" i="28"/>
  <c r="AA29" i="28"/>
  <c r="AA17" i="28"/>
  <c r="AB16" i="28"/>
  <c r="AA8" i="23"/>
  <c r="AA9" i="23"/>
  <c r="W44" i="13"/>
  <c r="V44" i="13"/>
  <c r="W40" i="13"/>
  <c r="V40" i="13"/>
  <c r="U41" i="13"/>
  <c r="V39" i="13"/>
  <c r="W39" i="13"/>
  <c r="V42" i="13"/>
  <c r="W42" i="13"/>
  <c r="C18" i="8"/>
  <c r="D18" i="8"/>
  <c r="E18" i="8"/>
  <c r="F18" i="8"/>
  <c r="G18" i="8"/>
  <c r="B18" i="8"/>
  <c r="D17" i="8"/>
  <c r="E17" i="8"/>
  <c r="F17" i="8"/>
  <c r="G17" i="8"/>
  <c r="I6" i="8"/>
  <c r="I7" i="8"/>
  <c r="I8" i="8"/>
  <c r="I9" i="8"/>
  <c r="I10" i="8"/>
  <c r="I11" i="8"/>
  <c r="I12" i="8"/>
  <c r="I13" i="8"/>
  <c r="I14" i="8"/>
  <c r="I15" i="8"/>
  <c r="I16" i="8"/>
  <c r="H6" i="8"/>
  <c r="H9" i="8"/>
  <c r="H10" i="8"/>
  <c r="H11" i="8"/>
  <c r="H12" i="8"/>
  <c r="H13" i="8"/>
  <c r="H14" i="8"/>
  <c r="H15" i="8"/>
  <c r="H16" i="8"/>
  <c r="K23" i="7"/>
  <c r="O13" i="7"/>
  <c r="O12" i="7"/>
  <c r="O11" i="7"/>
  <c r="AB25" i="28" l="1"/>
  <c r="AB29" i="28"/>
  <c r="AB24" i="28"/>
  <c r="AB28" i="28"/>
  <c r="AB22" i="28"/>
  <c r="AB26" i="28"/>
  <c r="AB23" i="28"/>
  <c r="AB27" i="28"/>
  <c r="AB30" i="28"/>
  <c r="AB17" i="28"/>
  <c r="AC16" i="28"/>
  <c r="V41" i="13"/>
  <c r="W41" i="13"/>
  <c r="K3" i="7"/>
  <c r="K4" i="7"/>
  <c r="H9" i="7"/>
  <c r="J15" i="7"/>
  <c r="J18" i="7"/>
  <c r="J14" i="7"/>
  <c r="J13" i="7"/>
  <c r="P7" i="7"/>
  <c r="I7" i="7"/>
  <c r="I8" i="7"/>
  <c r="I6" i="7"/>
  <c r="I4" i="7"/>
  <c r="I5" i="7"/>
  <c r="J7" i="7"/>
  <c r="J8" i="7"/>
  <c r="J11" i="7"/>
  <c r="J6" i="7"/>
  <c r="J10" i="7"/>
  <c r="X9" i="7"/>
  <c r="AC26" i="28" l="1"/>
  <c r="AC30" i="28"/>
  <c r="AC25" i="28"/>
  <c r="AC29" i="28"/>
  <c r="AC23" i="28"/>
  <c r="AC24" i="28"/>
  <c r="AC28" i="28"/>
  <c r="AC22" i="28"/>
  <c r="AC27" i="28"/>
  <c r="AC17" i="28"/>
  <c r="AD16" i="28"/>
  <c r="J12" i="7"/>
  <c r="N31" i="7"/>
  <c r="N30" i="7"/>
  <c r="C5" i="5"/>
  <c r="K32" i="7"/>
  <c r="J30" i="7"/>
  <c r="K28" i="7"/>
  <c r="K25" i="7"/>
  <c r="L31" i="7"/>
  <c r="J5" i="7"/>
  <c r="J4" i="7"/>
  <c r="J9" i="7"/>
  <c r="AD23" i="28" l="1"/>
  <c r="AD27" i="28"/>
  <c r="AD26" i="28"/>
  <c r="AD30" i="28"/>
  <c r="AD24" i="28"/>
  <c r="AD25" i="28"/>
  <c r="AD29" i="28"/>
  <c r="AD22" i="28"/>
  <c r="AD28" i="28"/>
  <c r="AD17" i="28"/>
  <c r="AE16" i="28"/>
  <c r="H11" i="4"/>
  <c r="I32" i="7"/>
  <c r="I31" i="7"/>
  <c r="I30" i="7"/>
  <c r="I29" i="7"/>
  <c r="I28" i="7"/>
  <c r="I27" i="7"/>
  <c r="I26" i="7"/>
  <c r="I25" i="7"/>
  <c r="I24" i="7"/>
  <c r="I23" i="7"/>
  <c r="I22" i="7"/>
  <c r="I21" i="7"/>
  <c r="M24" i="7"/>
  <c r="M28" i="7"/>
  <c r="M27" i="7"/>
  <c r="P9" i="7"/>
  <c r="H5" i="7"/>
  <c r="H4" i="7"/>
  <c r="AE24" i="28" l="1"/>
  <c r="AE28" i="28"/>
  <c r="AE22" i="28"/>
  <c r="AE25" i="28"/>
  <c r="AE23" i="28"/>
  <c r="AE27" i="28"/>
  <c r="AE26" i="28"/>
  <c r="AE30" i="28"/>
  <c r="AE29" i="28"/>
  <c r="AE17" i="28"/>
  <c r="AF16" i="28"/>
  <c r="K7" i="6"/>
  <c r="K8" i="6"/>
  <c r="K9" i="6"/>
  <c r="K10" i="6"/>
  <c r="J6" i="6"/>
  <c r="J7" i="6"/>
  <c r="J8" i="6"/>
  <c r="J9" i="6"/>
  <c r="J10" i="6"/>
  <c r="C11" i="5"/>
  <c r="E11" i="4"/>
  <c r="D11" i="4"/>
  <c r="C10" i="5"/>
  <c r="C9" i="5"/>
  <c r="C8" i="5"/>
  <c r="AF25" i="28" l="1"/>
  <c r="AF29" i="28"/>
  <c r="AF26" i="28"/>
  <c r="AF24" i="28"/>
  <c r="AF28" i="28"/>
  <c r="AF22" i="28"/>
  <c r="AG22" i="28" s="1"/>
  <c r="AF23" i="28"/>
  <c r="AG23" i="28" s="1"/>
  <c r="AF27" i="28"/>
  <c r="AF30" i="28"/>
  <c r="AF17" i="28"/>
  <c r="I24" i="3"/>
  <c r="I20" i="3"/>
  <c r="F25" i="3"/>
  <c r="F21" i="3"/>
  <c r="AH24" i="28" l="1"/>
  <c r="AI24" i="28"/>
  <c r="AJ24" i="28"/>
  <c r="AG24" i="28"/>
  <c r="AH23" i="28"/>
  <c r="AI23" i="28"/>
  <c r="AJ23" i="28"/>
  <c r="AH26" i="28"/>
  <c r="AG26" i="28"/>
  <c r="AJ26" i="28"/>
  <c r="AI26" i="28"/>
  <c r="AJ22" i="28"/>
  <c r="AI22" i="28"/>
  <c r="AH22" i="28"/>
  <c r="AK22" i="28" s="1"/>
  <c r="AL22" i="28" s="1"/>
  <c r="AH29" i="28"/>
  <c r="AG29" i="28"/>
  <c r="AI29" i="28"/>
  <c r="AJ29" i="28"/>
  <c r="AJ27" i="28"/>
  <c r="AH27" i="28"/>
  <c r="AI27" i="28"/>
  <c r="AG27" i="28"/>
  <c r="AH30" i="28"/>
  <c r="AG30" i="28"/>
  <c r="AI30" i="28"/>
  <c r="AJ30" i="28"/>
  <c r="AH28" i="28"/>
  <c r="AJ28" i="28"/>
  <c r="AG28" i="28"/>
  <c r="AI28" i="28"/>
  <c r="AH25" i="28"/>
  <c r="AI25" i="28"/>
  <c r="AJ25" i="28"/>
  <c r="AG25" i="28"/>
  <c r="D14" i="3"/>
  <c r="F14" i="3"/>
  <c r="D18" i="3"/>
  <c r="E18" i="3"/>
  <c r="AK25" i="28" l="1"/>
  <c r="AL25" i="28" s="1"/>
  <c r="AK27" i="28"/>
  <c r="AL27" i="28" s="1"/>
  <c r="AK28" i="28"/>
  <c r="AL28" i="28" s="1"/>
  <c r="AK26" i="28"/>
  <c r="AL26" i="28" s="1"/>
  <c r="AK23" i="28"/>
  <c r="AL23" i="28" s="1"/>
  <c r="AK30" i="28"/>
  <c r="AL30" i="28" s="1"/>
  <c r="AK29" i="28"/>
  <c r="AL29" i="28" s="1"/>
  <c r="AK24" i="28"/>
  <c r="AL24" i="28" s="1"/>
  <c r="H10" i="3"/>
  <c r="G10" i="3"/>
  <c r="L12" i="2" l="1"/>
  <c r="L15" i="2"/>
  <c r="L18" i="2"/>
  <c r="H18" i="2"/>
  <c r="H15" i="2"/>
  <c r="H12" i="2"/>
  <c r="H9" i="2"/>
  <c r="H6" i="2"/>
  <c r="G3" i="1"/>
  <c r="F3" i="1"/>
  <c r="E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C2C927A-B98A-4D5A-9738-C8EC1C43131D}" keepAlive="1" name="ThisWorkbookDataModel" description="Data Model" type="5" refreshedVersion="6" minRefreshableVersion="5" background="1" saveData="1">
    <dbPr connection="Data Model Connection" command="Model" commandType="1"/>
    <olapPr sendLocale="1" rowDrillCount="1000"/>
    <extLst>
      <ext xmlns:x15="http://schemas.microsoft.com/office/spreadsheetml/2010/11/main" uri="{DE250136-89BD-433C-8126-D09CA5730AF9}">
        <x15:connection id="" model="1"/>
      </ext>
    </extLst>
  </connection>
  <connection id="2" xr16:uid="{FDA3CEE2-69B6-463D-829F-866B4E500027}" name="WorksheetConnection_PIYUSH NEW.xlsm!Table1" type="102" refreshedVersion="6" minRefreshableVersion="5">
    <extLst>
      <ext xmlns:x15="http://schemas.microsoft.com/office/spreadsheetml/2010/11/main" uri="{DE250136-89BD-433C-8126-D09CA5730AF9}">
        <x15:connection id="Table1">
          <x15:rangePr sourceName="_xlcn.WorksheetConnection_PIYUSHNEW.xlsmTable1"/>
        </x15:connection>
      </ext>
    </extLst>
  </connection>
</connections>
</file>

<file path=xl/sharedStrings.xml><?xml version="1.0" encoding="utf-8"?>
<sst xmlns="http://schemas.openxmlformats.org/spreadsheetml/2006/main" count="7373" uniqueCount="598">
  <si>
    <t>NAME</t>
  </si>
  <si>
    <t>VARSHA</t>
  </si>
  <si>
    <t>VIPIN</t>
  </si>
  <si>
    <t>RIHAN</t>
  </si>
  <si>
    <t>VISHAL</t>
  </si>
  <si>
    <t>SORAV</t>
  </si>
  <si>
    <t>SONU</t>
  </si>
  <si>
    <t>MONU</t>
  </si>
  <si>
    <t>AKASH</t>
  </si>
  <si>
    <t>JANCY</t>
  </si>
  <si>
    <t>PRODUCT</t>
  </si>
  <si>
    <t>HP</t>
  </si>
  <si>
    <t>DELL</t>
  </si>
  <si>
    <t>LENOVO</t>
  </si>
  <si>
    <t>ACER</t>
  </si>
  <si>
    <t>ASUS</t>
  </si>
  <si>
    <t>SONY</t>
  </si>
  <si>
    <t>MACBOOK</t>
  </si>
  <si>
    <t>SALES</t>
  </si>
  <si>
    <t>COUNTIFS</t>
  </si>
  <si>
    <t>COUNTIF</t>
  </si>
  <si>
    <t>COUNTA</t>
  </si>
  <si>
    <t>COUNT</t>
  </si>
  <si>
    <t>&gt;200</t>
  </si>
  <si>
    <t>DCOUNT</t>
  </si>
  <si>
    <t>DCOUNTA</t>
  </si>
  <si>
    <t>&gt;300</t>
  </si>
  <si>
    <t>&gt;100</t>
  </si>
  <si>
    <t>&gt;150</t>
  </si>
  <si>
    <t>&gt;350</t>
  </si>
  <si>
    <t>&gt;</t>
  </si>
  <si>
    <t>&lt;</t>
  </si>
  <si>
    <t>&gt;=</t>
  </si>
  <si>
    <t>&lt;=</t>
  </si>
  <si>
    <t>&lt;&gt;</t>
  </si>
  <si>
    <t>*</t>
  </si>
  <si>
    <t>&amp;</t>
  </si>
  <si>
    <t>?</t>
  </si>
  <si>
    <t>QUESTION MARK</t>
  </si>
  <si>
    <t>GREATER THAN</t>
  </si>
  <si>
    <t>LESS THAN</t>
  </si>
  <si>
    <t>GREATER THAN EQUALS TO</t>
  </si>
  <si>
    <t>LESS THAN EQUALS TO</t>
  </si>
  <si>
    <t>NOT EQUAL</t>
  </si>
  <si>
    <t>ATRICS</t>
  </si>
  <si>
    <t>AND</t>
  </si>
  <si>
    <t>NITIN</t>
  </si>
  <si>
    <t>RAM</t>
  </si>
  <si>
    <t>HARISH</t>
  </si>
  <si>
    <t>VAIBHAV</t>
  </si>
  <si>
    <t>VINAY</t>
  </si>
  <si>
    <t>PINCE</t>
  </si>
  <si>
    <t>APPLE</t>
  </si>
  <si>
    <t>AV</t>
  </si>
  <si>
    <t>&gt;700</t>
  </si>
  <si>
    <t>&gt;50</t>
  </si>
  <si>
    <t>&gt;58</t>
  </si>
  <si>
    <t>&lt;50</t>
  </si>
  <si>
    <t>&gt;30</t>
  </si>
  <si>
    <t>&gt;60</t>
  </si>
  <si>
    <t>COUNT SERIES</t>
  </si>
  <si>
    <t>COUNTBLANK</t>
  </si>
  <si>
    <t xml:space="preserve">COUNT </t>
  </si>
  <si>
    <t>ROHAN</t>
  </si>
  <si>
    <t>SOHAN</t>
  </si>
  <si>
    <t>MANISH</t>
  </si>
  <si>
    <t>JATIN</t>
  </si>
  <si>
    <t>KAVI</t>
  </si>
  <si>
    <t>DUSHYANT</t>
  </si>
  <si>
    <t>REDMI</t>
  </si>
  <si>
    <t>REALMI</t>
  </si>
  <si>
    <t>dell</t>
  </si>
  <si>
    <t>riya</t>
  </si>
  <si>
    <t>siya</t>
  </si>
  <si>
    <t>mohit</t>
  </si>
  <si>
    <t>rohit</t>
  </si>
  <si>
    <t>akash</t>
  </si>
  <si>
    <t>jancy</t>
  </si>
  <si>
    <t>monika</t>
  </si>
  <si>
    <t>rohan</t>
  </si>
  <si>
    <t>ankit</t>
  </si>
  <si>
    <t>40000-50000</t>
  </si>
  <si>
    <t>50000-60000</t>
  </si>
  <si>
    <t>60000-70000</t>
  </si>
  <si>
    <t>70000-80000</t>
  </si>
  <si>
    <t>80000 &amp; above</t>
  </si>
  <si>
    <t>30000-40000</t>
  </si>
  <si>
    <t>BONUS</t>
  </si>
  <si>
    <t>Name</t>
  </si>
  <si>
    <t>monu</t>
  </si>
  <si>
    <t>sonu</t>
  </si>
  <si>
    <t>aman</t>
  </si>
  <si>
    <t>tushar</t>
  </si>
  <si>
    <t>Monday</t>
  </si>
  <si>
    <t>Tuesday</t>
  </si>
  <si>
    <t>Wednesday</t>
  </si>
  <si>
    <t>Thursday</t>
  </si>
  <si>
    <t>Friday</t>
  </si>
  <si>
    <t>Saturday</t>
  </si>
  <si>
    <t>Sunday</t>
  </si>
  <si>
    <t>Total</t>
  </si>
  <si>
    <t>&gt;=21</t>
  </si>
  <si>
    <t>&lt;21</t>
  </si>
  <si>
    <t>TOTAL</t>
  </si>
  <si>
    <t>minifs</t>
  </si>
  <si>
    <t>maxifs</t>
  </si>
  <si>
    <t>maxa</t>
  </si>
  <si>
    <t>mina</t>
  </si>
  <si>
    <t>KARAN</t>
  </si>
  <si>
    <t>VARUN</t>
  </si>
  <si>
    <t>ARUN</t>
  </si>
  <si>
    <t xml:space="preserve">RAMESH </t>
  </si>
  <si>
    <t>DINESH</t>
  </si>
  <si>
    <t>HARI</t>
  </si>
  <si>
    <t>PRINCE</t>
  </si>
  <si>
    <t>VIVEK</t>
  </si>
  <si>
    <t>STORE 1</t>
  </si>
  <si>
    <t>STORE 2</t>
  </si>
  <si>
    <t>STORE 3</t>
  </si>
  <si>
    <t>STORE 4</t>
  </si>
  <si>
    <t>STORE 5</t>
  </si>
  <si>
    <t>STORE 6</t>
  </si>
  <si>
    <t>MATCH</t>
  </si>
  <si>
    <t>INDEX</t>
  </si>
  <si>
    <t>INDEX AND MATCH</t>
  </si>
  <si>
    <t>MAXIMUM</t>
  </si>
  <si>
    <t>INDEX,MATCH,INDEX AND MATCH</t>
  </si>
  <si>
    <t>INDEX,MATCH,MAX</t>
  </si>
  <si>
    <t>INDEX,MATCH,MIN</t>
  </si>
  <si>
    <t>INDEX, MATCH WITH MAX AND MIN</t>
  </si>
  <si>
    <t>VINEET</t>
  </si>
  <si>
    <t>MAHESH</t>
  </si>
  <si>
    <t>GOPAL</t>
  </si>
  <si>
    <t>MOHIT</t>
  </si>
  <si>
    <t>ANSH</t>
  </si>
  <si>
    <t>ANURAG</t>
  </si>
  <si>
    <t>ANUBHAV</t>
  </si>
  <si>
    <t>ADDY</t>
  </si>
  <si>
    <t>AYUSH</t>
  </si>
  <si>
    <t>KARTIK</t>
  </si>
  <si>
    <t>GURPREET</t>
  </si>
  <si>
    <t>INDEX,MATCH,MAX,AVERAGE</t>
  </si>
  <si>
    <t xml:space="preserve">INDEX,MAX OF SPECIFIC PERSON OR STORE FROM ALL STORES </t>
  </si>
  <si>
    <t>0-100</t>
  </si>
  <si>
    <t>100-200</t>
  </si>
  <si>
    <t>200-300</t>
  </si>
  <si>
    <t>300-400</t>
  </si>
  <si>
    <t>MATCH TYPES</t>
  </si>
  <si>
    <t>400-500</t>
  </si>
  <si>
    <t>500-400</t>
  </si>
  <si>
    <t>400-300</t>
  </si>
  <si>
    <t>300-200</t>
  </si>
  <si>
    <t>200-100</t>
  </si>
  <si>
    <t>100-0</t>
  </si>
  <si>
    <t>range</t>
  </si>
  <si>
    <t>0-500</t>
  </si>
  <si>
    <t>500-1000</t>
  </si>
  <si>
    <t>1000-2000</t>
  </si>
  <si>
    <t>2000-3000</t>
  </si>
  <si>
    <t>3000-4000</t>
  </si>
  <si>
    <t>&gt;5000</t>
  </si>
  <si>
    <t>Price</t>
  </si>
  <si>
    <t>Level one</t>
  </si>
  <si>
    <t>Categories</t>
  </si>
  <si>
    <t>Normal</t>
  </si>
  <si>
    <t>Standard</t>
  </si>
  <si>
    <t>preimium</t>
  </si>
  <si>
    <t>Level two</t>
  </si>
  <si>
    <t>STANDARD</t>
  </si>
  <si>
    <t>RANGE</t>
  </si>
  <si>
    <t>NORMAL</t>
  </si>
  <si>
    <t>CATEGORIES</t>
  </si>
  <si>
    <t>DISTANCE</t>
  </si>
  <si>
    <t>PRICE</t>
  </si>
  <si>
    <t>ROHIT</t>
  </si>
  <si>
    <t>RIYA</t>
  </si>
  <si>
    <t>PRIYA</t>
  </si>
  <si>
    <t>SHIVAM</t>
  </si>
  <si>
    <t>GENDER</t>
  </si>
  <si>
    <t>MALE</t>
  </si>
  <si>
    <t>FEMALE</t>
  </si>
  <si>
    <t>FULL NAME</t>
  </si>
  <si>
    <t>MR. ROHIT</t>
  </si>
  <si>
    <t>MRS, MOHIT</t>
  </si>
  <si>
    <t>MRS. PRIYA</t>
  </si>
  <si>
    <t>MRS. SHIVAM</t>
  </si>
  <si>
    <t>OTHER</t>
  </si>
  <si>
    <t>MOHAN</t>
  </si>
  <si>
    <t>RAJU</t>
  </si>
  <si>
    <t>RAMESH</t>
  </si>
  <si>
    <t>INTEL</t>
  </si>
  <si>
    <t>INTEX</t>
  </si>
  <si>
    <t>SOHAN4</t>
  </si>
  <si>
    <t>DELHI</t>
  </si>
  <si>
    <t>MUMBAI</t>
  </si>
  <si>
    <t>GOA</t>
  </si>
  <si>
    <t>MAHARASHTRA</t>
  </si>
  <si>
    <t>KOLKATA</t>
  </si>
  <si>
    <t>LOCAL</t>
  </si>
  <si>
    <t>REGIONAL</t>
  </si>
  <si>
    <t>NATIONAL</t>
  </si>
  <si>
    <t>INTERNATIONAL</t>
  </si>
  <si>
    <t>PREMIUM</t>
  </si>
  <si>
    <t>National</t>
  </si>
  <si>
    <t>international</t>
  </si>
  <si>
    <t>regional</t>
  </si>
  <si>
    <t>Jan</t>
  </si>
  <si>
    <t>Feb</t>
  </si>
  <si>
    <t>Mar</t>
  </si>
  <si>
    <t>FEB</t>
  </si>
  <si>
    <t>Apr</t>
  </si>
  <si>
    <t>May</t>
  </si>
  <si>
    <t>Jun</t>
  </si>
  <si>
    <t>VIRAT</t>
  </si>
  <si>
    <t>DHONI</t>
  </si>
  <si>
    <t>CHAMPA</t>
  </si>
  <si>
    <t>PARAM</t>
  </si>
  <si>
    <t>TARAK</t>
  </si>
  <si>
    <t>MANJU</t>
  </si>
  <si>
    <t>VLOOKUP</t>
  </si>
  <si>
    <t>harish</t>
  </si>
  <si>
    <t>QUANTITY</t>
  </si>
  <si>
    <t>ROHIT SHARMA</t>
  </si>
  <si>
    <t>MOHAN VERMA</t>
  </si>
  <si>
    <t>RAVI GUPTA</t>
  </si>
  <si>
    <t>POOJA REDDY</t>
  </si>
  <si>
    <t>MANISH KUMAR</t>
  </si>
  <si>
    <t>AMIT CHAUAHAN</t>
  </si>
  <si>
    <t>name</t>
  </si>
  <si>
    <t>sales</t>
  </si>
  <si>
    <t>&gt;500</t>
  </si>
  <si>
    <t>&lt;500</t>
  </si>
  <si>
    <t>&gt;=500</t>
  </si>
  <si>
    <t>&lt;=500</t>
  </si>
  <si>
    <t>&lt;&gt;500</t>
  </si>
  <si>
    <t>SALES ON THE BASIS OF NAME CRITERIA</t>
  </si>
  <si>
    <t>SALES ON THE BASIS OF NO. CRITERIA</t>
  </si>
  <si>
    <t>OCT</t>
  </si>
  <si>
    <t>NOV</t>
  </si>
  <si>
    <t>PANNA LAL</t>
  </si>
  <si>
    <t>MAHIPAL</t>
  </si>
  <si>
    <t>JAGPREET</t>
  </si>
  <si>
    <t>KEERATPAL</t>
  </si>
  <si>
    <t>JAGPAL</t>
  </si>
  <si>
    <t>PIYUSH</t>
  </si>
  <si>
    <t>SACHIN</t>
  </si>
  <si>
    <t>MD.SHAMI</t>
  </si>
  <si>
    <t>OFFSET WITH MATCH AND COUNTA</t>
  </si>
  <si>
    <t>AUG</t>
  </si>
  <si>
    <t>JUL</t>
  </si>
  <si>
    <t>DEC</t>
  </si>
  <si>
    <t>JAN</t>
  </si>
  <si>
    <t>MAR</t>
  </si>
  <si>
    <t>APR</t>
  </si>
  <si>
    <t>MAY</t>
  </si>
  <si>
    <t>JUN</t>
  </si>
  <si>
    <t>SEP</t>
  </si>
  <si>
    <t>MAHI</t>
  </si>
  <si>
    <t>QTY.</t>
  </si>
  <si>
    <t>SUMPRODUCT</t>
  </si>
  <si>
    <t>A</t>
  </si>
  <si>
    <t>B</t>
  </si>
  <si>
    <t>C</t>
  </si>
  <si>
    <t>D</t>
  </si>
  <si>
    <t>E</t>
  </si>
  <si>
    <t>F</t>
  </si>
  <si>
    <t>G</t>
  </si>
  <si>
    <t>H</t>
  </si>
  <si>
    <t>I</t>
  </si>
  <si>
    <t>J</t>
  </si>
  <si>
    <t>K</t>
  </si>
  <si>
    <t>L</t>
  </si>
  <si>
    <t>M</t>
  </si>
  <si>
    <t>N</t>
  </si>
  <si>
    <t>O</t>
  </si>
  <si>
    <t>P</t>
  </si>
  <si>
    <t>Q</t>
  </si>
  <si>
    <t>R</t>
  </si>
  <si>
    <t>S</t>
  </si>
  <si>
    <t>T</t>
  </si>
  <si>
    <t>U</t>
  </si>
  <si>
    <t>V</t>
  </si>
  <si>
    <t>W</t>
  </si>
  <si>
    <t>X</t>
  </si>
  <si>
    <t>Y</t>
  </si>
  <si>
    <t>Z</t>
  </si>
  <si>
    <t>BITTU</t>
  </si>
  <si>
    <t>a</t>
  </si>
  <si>
    <t xml:space="preserve">  </t>
  </si>
  <si>
    <t>IFERROR</t>
  </si>
  <si>
    <t>SEARCH</t>
  </si>
  <si>
    <t>FIND</t>
  </si>
  <si>
    <t>DATEVALUE</t>
  </si>
  <si>
    <t>ISBLANK</t>
  </si>
  <si>
    <t>SHAMI</t>
  </si>
  <si>
    <t>SIRAJ</t>
  </si>
  <si>
    <t>SAHIL</t>
  </si>
  <si>
    <t>ISERR</t>
  </si>
  <si>
    <t>ISERROR</t>
  </si>
  <si>
    <t>ISEVEN</t>
  </si>
  <si>
    <t>ISFORMULA</t>
  </si>
  <si>
    <t>ISLOGICAL</t>
  </si>
  <si>
    <t>ISNA</t>
  </si>
  <si>
    <t>ISNONTEXT</t>
  </si>
  <si>
    <t>ISNUMBER</t>
  </si>
  <si>
    <t>ISODD</t>
  </si>
  <si>
    <t>ISREF</t>
  </si>
  <si>
    <t>ISTEXT</t>
  </si>
  <si>
    <t>EMPLOYEE ID</t>
  </si>
  <si>
    <t>EMP01</t>
  </si>
  <si>
    <t>EMP02</t>
  </si>
  <si>
    <t>EMP03</t>
  </si>
  <si>
    <t>EMP04</t>
  </si>
  <si>
    <t>EMP05</t>
  </si>
  <si>
    <t>EMP06</t>
  </si>
  <si>
    <t>EMP07</t>
  </si>
  <si>
    <t>EMP08</t>
  </si>
  <si>
    <t>EMP09</t>
  </si>
  <si>
    <t>MONTH</t>
  </si>
  <si>
    <t>FIRST DATE</t>
  </si>
  <si>
    <t>DAYS</t>
  </si>
  <si>
    <t>LAST DATE</t>
  </si>
  <si>
    <t>MINTU</t>
  </si>
  <si>
    <t>DATE</t>
  </si>
  <si>
    <t>PRESENT</t>
  </si>
  <si>
    <t>ABSENT</t>
  </si>
  <si>
    <t>LEAVE</t>
  </si>
  <si>
    <t>HOLIDAY</t>
  </si>
  <si>
    <t>TOTAL WORKING DAYS</t>
  </si>
  <si>
    <t>PRESENT%</t>
  </si>
  <si>
    <t>NO. OF DAYS P</t>
  </si>
  <si>
    <t>NO. OF DAYS A</t>
  </si>
  <si>
    <t>NO. OF DAYS L</t>
  </si>
  <si>
    <t>NO. OF DAYS H</t>
  </si>
  <si>
    <t>COURSE</t>
  </si>
  <si>
    <t>BASIC COMPUTER</t>
  </si>
  <si>
    <t>ADVANCE COMPUTER</t>
  </si>
  <si>
    <t>EDITING</t>
  </si>
  <si>
    <t>DIGITAL MARKETING</t>
  </si>
  <si>
    <t>DATA ANALYST</t>
  </si>
  <si>
    <t>WEB DEVELOPMENT</t>
  </si>
  <si>
    <t>REENA</t>
  </si>
  <si>
    <t>BEENA</t>
  </si>
  <si>
    <t>MEENA</t>
  </si>
  <si>
    <t>CHUTKI</t>
  </si>
  <si>
    <t>MONISHA</t>
  </si>
  <si>
    <t>BAANI</t>
  </si>
  <si>
    <t>BASIC ENGLISH</t>
  </si>
  <si>
    <t>ADVNACE ENGLISH</t>
  </si>
  <si>
    <t>LITERATURE</t>
  </si>
  <si>
    <t>SPEAKING</t>
  </si>
  <si>
    <t>DEBATE</t>
  </si>
  <si>
    <t>SCRIPITING</t>
  </si>
  <si>
    <t>TEST 1</t>
  </si>
  <si>
    <t>TEST 2</t>
  </si>
  <si>
    <t>TEST 3</t>
  </si>
  <si>
    <t>TEST 4</t>
  </si>
  <si>
    <t>TEST 5</t>
  </si>
  <si>
    <t>COMPUTER STUDENTS</t>
  </si>
  <si>
    <t>ENGLISH STUDENTS</t>
  </si>
  <si>
    <t>STOCK</t>
  </si>
  <si>
    <t>AB</t>
  </si>
  <si>
    <t>JOHN</t>
  </si>
  <si>
    <t>SARAH</t>
  </si>
  <si>
    <t>MIKE</t>
  </si>
  <si>
    <t>ANNA</t>
  </si>
  <si>
    <t>AGE</t>
  </si>
  <si>
    <t>DEPARTMENT</t>
  </si>
  <si>
    <t>HR</t>
  </si>
  <si>
    <t>IT</t>
  </si>
  <si>
    <t>FINANCE</t>
  </si>
  <si>
    <t>DATABASE FUNCTIONS</t>
  </si>
  <si>
    <t>DSUM</t>
  </si>
  <si>
    <t>DAVERAGE</t>
  </si>
  <si>
    <t>DMIN</t>
  </si>
  <si>
    <t>DMAX</t>
  </si>
  <si>
    <t>DGET</t>
  </si>
  <si>
    <t>DPRODUCT</t>
  </si>
  <si>
    <t>DSTDEV</t>
  </si>
  <si>
    <t>DSTDEVP</t>
  </si>
  <si>
    <t>DVAR</t>
  </si>
  <si>
    <t>DVARP</t>
  </si>
  <si>
    <t>DONE</t>
  </si>
  <si>
    <t>LEFT</t>
  </si>
  <si>
    <t>RIGHT</t>
  </si>
  <si>
    <t>MID</t>
  </si>
  <si>
    <t>LEN</t>
  </si>
  <si>
    <t>UPPER</t>
  </si>
  <si>
    <t>LOWER</t>
  </si>
  <si>
    <t>PROPER</t>
  </si>
  <si>
    <t>EXACT</t>
  </si>
  <si>
    <t>RANK</t>
  </si>
  <si>
    <t>RANKAVG</t>
  </si>
  <si>
    <t>HANSALMEHTAM23@GMAIL.COM</t>
  </si>
  <si>
    <t>CONCAT</t>
  </si>
  <si>
    <t>CONCATENETE</t>
  </si>
  <si>
    <t>EMP ID</t>
  </si>
  <si>
    <t>STATE</t>
  </si>
  <si>
    <t>MONDAY</t>
  </si>
  <si>
    <t>TUESDAY</t>
  </si>
  <si>
    <t>WEDNESDAY</t>
  </si>
  <si>
    <t>THURSDAY</t>
  </si>
  <si>
    <t>FRIDAY</t>
  </si>
  <si>
    <t>SATURDAY</t>
  </si>
  <si>
    <t>SUNDAY</t>
  </si>
  <si>
    <t>ALI</t>
  </si>
  <si>
    <t>GOKUL</t>
  </si>
  <si>
    <t>SHUBHAM</t>
  </si>
  <si>
    <t>RAMAKANT</t>
  </si>
  <si>
    <t>JAYASH</t>
  </si>
  <si>
    <t>SURAJ</t>
  </si>
  <si>
    <t>BIHAR</t>
  </si>
  <si>
    <t>RAJASTHAN</t>
  </si>
  <si>
    <t>M.P</t>
  </si>
  <si>
    <t>U.P</t>
  </si>
  <si>
    <t>JAMMU</t>
  </si>
  <si>
    <t>KASHMIR</t>
  </si>
  <si>
    <t>KERALA</t>
  </si>
  <si>
    <t>ANDHRA PRADESH</t>
  </si>
  <si>
    <t>PUNJAB</t>
  </si>
  <si>
    <t>HARYANA</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</si>
  <si>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</si>
  <si>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</si>
  <si>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</si>
  <si>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</si>
  <si>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</si>
  <si>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</si>
  <si>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</si>
  <si>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</si>
  <si>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</si>
  <si>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</si>
  <si>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</si>
  <si>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</si>
  <si>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</si>
  <si>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</si>
  <si>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</si>
  <si>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</si>
  <si>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</si>
  <si>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</si>
  <si>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</si>
  <si>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</si>
  <si>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</si>
  <si>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</si>
  <si>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</si>
  <si>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</si>
  <si>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</si>
  <si>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</si>
  <si>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</si>
  <si>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</si>
  <si>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</si>
  <si>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</si>
  <si>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</si>
  <si>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</si>
  <si>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</si>
  <si>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</si>
  <si>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</si>
  <si>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</si>
  <si>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</si>
  <si>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</si>
  <si>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</si>
  <si>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</si>
  <si>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</si>
  <si>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</si>
  <si>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</si>
  <si>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</si>
  <si>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</si>
  <si>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</si>
  <si>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</si>
  <si>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</si>
  <si>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N49</t>
  </si>
  <si>
    <t>N50</t>
  </si>
  <si>
    <t>N51</t>
  </si>
  <si>
    <t>N52</t>
  </si>
  <si>
    <t>N53</t>
  </si>
  <si>
    <t>N54</t>
  </si>
  <si>
    <t>N55</t>
  </si>
  <si>
    <t>N56</t>
  </si>
  <si>
    <t>N57</t>
  </si>
  <si>
    <t>N58</t>
  </si>
  <si>
    <t>N59</t>
  </si>
  <si>
    <t>N60</t>
  </si>
  <si>
    <t>N61</t>
  </si>
  <si>
    <t>N62</t>
  </si>
  <si>
    <t>N63</t>
  </si>
  <si>
    <t>N64</t>
  </si>
  <si>
    <t>N65</t>
  </si>
  <si>
    <t>N66</t>
  </si>
  <si>
    <t>N67</t>
  </si>
  <si>
    <t>N68</t>
  </si>
  <si>
    <t>N69</t>
  </si>
  <si>
    <t>N70</t>
  </si>
  <si>
    <t>N71</t>
  </si>
  <si>
    <t>N72</t>
  </si>
  <si>
    <t>N73</t>
  </si>
  <si>
    <t>N74</t>
  </si>
  <si>
    <t>N75</t>
  </si>
  <si>
    <t>N76</t>
  </si>
  <si>
    <t>N77</t>
  </si>
  <si>
    <t>N78</t>
  </si>
  <si>
    <t>N79</t>
  </si>
  <si>
    <t>N80</t>
  </si>
  <si>
    <t>N81</t>
  </si>
  <si>
    <t>N82</t>
  </si>
  <si>
    <t>N83</t>
  </si>
  <si>
    <t>N84</t>
  </si>
  <si>
    <t>N85</t>
  </si>
  <si>
    <t>N86</t>
  </si>
  <si>
    <t>N87</t>
  </si>
  <si>
    <t>N88</t>
  </si>
  <si>
    <t>N89</t>
  </si>
  <si>
    <t>N90</t>
  </si>
  <si>
    <t>N91</t>
  </si>
  <si>
    <t>N92</t>
  </si>
  <si>
    <t>N93</t>
  </si>
  <si>
    <t>N94</t>
  </si>
  <si>
    <t>N95</t>
  </si>
  <si>
    <t>N96</t>
  </si>
  <si>
    <t>N97</t>
  </si>
  <si>
    <t>N98</t>
  </si>
  <si>
    <t>N99</t>
  </si>
  <si>
    <t>N100</t>
  </si>
  <si>
    <t>N101</t>
  </si>
  <si>
    <t>N102</t>
  </si>
  <si>
    <t>N103</t>
  </si>
  <si>
    <t>N104</t>
  </si>
  <si>
    <t>N105</t>
  </si>
  <si>
    <t>N106</t>
  </si>
  <si>
    <t>N107</t>
  </si>
  <si>
    <t>N108</t>
  </si>
  <si>
    <t>N109</t>
  </si>
  <si>
    <t>N110</t>
  </si>
  <si>
    <t>N111</t>
  </si>
  <si>
    <t>N112</t>
  </si>
  <si>
    <t>N113</t>
  </si>
  <si>
    <t>N114</t>
  </si>
  <si>
    <t>N115</t>
  </si>
  <si>
    <t>N116</t>
  </si>
  <si>
    <t>N117</t>
  </si>
  <si>
    <t>N118</t>
  </si>
  <si>
    <t>N119</t>
  </si>
  <si>
    <t>N120</t>
  </si>
  <si>
    <t>N121</t>
  </si>
  <si>
    <t>N122</t>
  </si>
  <si>
    <t>N123</t>
  </si>
  <si>
    <t>N124</t>
  </si>
  <si>
    <t>N125</t>
  </si>
  <si>
    <t>N126</t>
  </si>
  <si>
    <t>N127</t>
  </si>
  <si>
    <t>N128</t>
  </si>
  <si>
    <t>N129</t>
  </si>
  <si>
    <t>N130</t>
  </si>
  <si>
    <t>N131</t>
  </si>
  <si>
    <t>N132</t>
  </si>
  <si>
    <t>N133</t>
  </si>
  <si>
    <t>N134</t>
  </si>
  <si>
    <t>N135</t>
  </si>
  <si>
    <t>N136</t>
  </si>
  <si>
    <t>N137</t>
  </si>
  <si>
    <t>N138</t>
  </si>
  <si>
    <t>N139</t>
  </si>
  <si>
    <t>N140</t>
  </si>
  <si>
    <t>N141</t>
  </si>
  <si>
    <t>N142</t>
  </si>
  <si>
    <t>N143</t>
  </si>
  <si>
    <t>N144</t>
  </si>
  <si>
    <t>N145</t>
  </si>
  <si>
    <t>N146</t>
  </si>
  <si>
    <t>N147</t>
  </si>
  <si>
    <t>N148</t>
  </si>
  <si>
    <t>N149</t>
  </si>
  <si>
    <t>N150</t>
  </si>
  <si>
    <t>Row Labels</t>
  </si>
  <si>
    <t>Grand Total</t>
  </si>
  <si>
    <t>Sum of JAN</t>
  </si>
  <si>
    <t>Sum of FEB</t>
  </si>
  <si>
    <t>Sum of MAR</t>
  </si>
  <si>
    <t>Sum of APR</t>
  </si>
  <si>
    <t>STORE1</t>
  </si>
  <si>
    <t>STORE2</t>
  </si>
  <si>
    <t>STORE3</t>
  </si>
  <si>
    <t>STORE4</t>
  </si>
  <si>
    <t>STORE5</t>
  </si>
  <si>
    <t>STORE6</t>
  </si>
  <si>
    <t>STORE7</t>
  </si>
  <si>
    <t>STORE8</t>
  </si>
  <si>
    <t>STORE9</t>
  </si>
  <si>
    <t>STORE10</t>
  </si>
  <si>
    <t>ZEBRONICS</t>
  </si>
  <si>
    <t>CHANDIGARH</t>
  </si>
  <si>
    <t>RANK AVG</t>
  </si>
  <si>
    <t>TRIM</t>
  </si>
  <si>
    <t>value</t>
  </si>
  <si>
    <t>DAY</t>
  </si>
  <si>
    <t>FROM</t>
  </si>
  <si>
    <t>TO</t>
  </si>
  <si>
    <t>(All)</t>
  </si>
  <si>
    <t>Sum of STORE1</t>
  </si>
  <si>
    <t>Average of STORE1_2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</si>
</sst>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mmm"/>
    <numFmt numFmtId="165" formatCode="dd/mmm/yyyy"/>
    <numFmt numFmtId="166" formatCode="dd"/>
    <numFmt numFmtId="167" formatCode="dddd"/>
  </numFmts>
  <fonts count="15" x14ac:knownFonts="1">
    <font>
      <sz val="11"/>
      <color theme="1"/>
      <name val="Calibri"/>
      <family val="2"/>
      <scheme val="minor"/>
    </font>
    <font>
      <sz val="14"/>
      <color theme="1"/>
      <name val="Calibri"/>
      <family val="2"/>
      <scheme val="minor"/>
    </font>
    <font>
      <sz val="18"/>
      <color theme="1"/>
      <name val="Calibri"/>
      <family val="2"/>
      <scheme val="minor"/>
    </font>
    <font>
      <sz val="20"/>
      <color theme="1"/>
      <name val="Calibri"/>
      <family val="2"/>
      <scheme val="minor"/>
    </font>
    <font>
      <sz val="36"/>
      <color theme="1"/>
      <name val="Calibri"/>
      <family val="2"/>
      <scheme val="minor"/>
    </font>
    <font>
      <u/>
      <sz val="11"/>
      <color theme="10"/>
      <name val="Calibri"/>
      <family val="2"/>
      <scheme val="minor"/>
    </font>
    <font>
      <sz val="36"/>
      <color rgb="FFFF0000"/>
      <name val="Calibri"/>
      <family val="2"/>
      <scheme val="minor"/>
    </font>
    <font>
      <sz val="28"/>
      <color theme="1"/>
      <name val="Calibri"/>
      <family val="2"/>
      <scheme val="minor"/>
    </font>
    <font>
      <sz val="20"/>
      <color theme="0"/>
      <name val="Calibri"/>
      <family val="2"/>
      <scheme val="minor"/>
    </font>
    <font>
      <sz val="18"/>
      <color theme="0"/>
      <name val="Calibri"/>
      <family val="2"/>
      <scheme val="minor"/>
    </font>
    <font>
      <sz val="24"/>
      <color theme="0"/>
      <name val="Calibri"/>
      <family val="2"/>
      <scheme val="minor"/>
    </font>
    <font>
      <sz val="8"/>
      <color rgb="FF000000"/>
      <name val="Segoe UI"/>
      <family val="2"/>
    </font>
    <font>
      <sz val="11"/>
      <color theme="0"/>
      <name val="Calibri"/>
      <family val="2"/>
      <scheme val="minor"/>
    </font>
    <font>
      <b/>
      <sz val="11"/>
      <color theme="0"/>
      <name val="Calibri"/>
      <family val="2"/>
      <scheme val="minor"/>
    </font>
    <font>
      <b/>
      <sz val="11"/>
      <color theme="1"/>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1" tint="4.9989318521683403E-2"/>
        <bgColor indexed="64"/>
      </patternFill>
    </fill>
    <fill>
      <patternFill patternType="solid">
        <fgColor theme="9" tint="0.79998168889431442"/>
        <bgColor indexed="64"/>
      </patternFill>
    </fill>
    <fill>
      <patternFill patternType="solid">
        <fgColor rgb="FFFF5050"/>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4"/>
        <bgColor theme="4"/>
      </patternFill>
    </fill>
    <fill>
      <patternFill patternType="solid">
        <fgColor theme="4" tint="0.79998168889431442"/>
        <bgColor theme="4" tint="0.79998168889431442"/>
      </patternFill>
    </fill>
  </fills>
  <borders count="9">
    <border>
      <left/>
      <right/>
      <top/>
      <bottom/>
      <diagonal/>
    </border>
    <border>
      <left style="thin">
        <color auto="1"/>
      </left>
      <right style="thin">
        <color auto="1"/>
      </right>
      <top style="thin">
        <color auto="1"/>
      </top>
      <bottom style="thin">
        <color auto="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top/>
      <bottom style="thin">
        <color theme="4" tint="0.39997558519241921"/>
      </bottom>
      <diagonal/>
    </border>
  </borders>
  <cellStyleXfs count="2">
    <xf numFmtId="0" fontId="0" fillId="0" borderId="0"/>
    <xf numFmtId="0" fontId="5" fillId="0" borderId="0" applyNumberFormat="0" applyFill="0" applyBorder="0" applyAlignment="0" applyProtection="0"/>
  </cellStyleXfs>
  <cellXfs count="62">
    <xf numFmtId="0" fontId="0" fillId="0" borderId="0" xfId="0"/>
    <xf numFmtId="0" fontId="0" fillId="2" borderId="0" xfId="0" applyFill="1"/>
    <xf numFmtId="0" fontId="0" fillId="0" borderId="0" xfId="0" applyFill="1"/>
    <xf numFmtId="0" fontId="0" fillId="0" borderId="0" xfId="0" applyFont="1"/>
    <xf numFmtId="0" fontId="0" fillId="4" borderId="0" xfId="0" applyFill="1"/>
    <xf numFmtId="0" fontId="5" fillId="0" borderId="0" xfId="1"/>
    <xf numFmtId="0" fontId="0" fillId="0" borderId="0" xfId="0" applyAlignment="1">
      <alignment horizontal="center"/>
    </xf>
    <xf numFmtId="0" fontId="0" fillId="3" borderId="0" xfId="0" applyFill="1"/>
    <xf numFmtId="0" fontId="0" fillId="5" borderId="0" xfId="0" applyFill="1"/>
    <xf numFmtId="0" fontId="0" fillId="3" borderId="0" xfId="0" applyFill="1" applyAlignment="1">
      <alignment horizontal="right"/>
    </xf>
    <xf numFmtId="14" fontId="0" fillId="0" borderId="0" xfId="0" applyNumberFormat="1"/>
    <xf numFmtId="0" fontId="0" fillId="0" borderId="0" xfId="0" applyNumberFormat="1"/>
    <xf numFmtId="2" fontId="0" fillId="0" borderId="0" xfId="0" applyNumberFormat="1"/>
    <xf numFmtId="165" fontId="0" fillId="4" borderId="0" xfId="0" applyNumberFormat="1" applyFill="1"/>
    <xf numFmtId="164" fontId="0" fillId="8" borderId="0" xfId="0" applyNumberFormat="1" applyFill="1"/>
    <xf numFmtId="166" fontId="0" fillId="0" borderId="0" xfId="0" applyNumberFormat="1" applyFill="1"/>
    <xf numFmtId="0" fontId="0" fillId="0" borderId="0" xfId="0" applyAlignment="1"/>
    <xf numFmtId="0" fontId="0" fillId="10" borderId="0" xfId="0" applyFill="1"/>
    <xf numFmtId="0" fontId="0" fillId="9" borderId="0" xfId="0" applyFill="1"/>
    <xf numFmtId="0" fontId="0" fillId="11" borderId="0" xfId="0" applyFill="1"/>
    <xf numFmtId="10" fontId="0" fillId="0" borderId="0" xfId="0" applyNumberFormat="1"/>
    <xf numFmtId="0" fontId="0" fillId="12"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wrapText="1"/>
    </xf>
    <xf numFmtId="166" fontId="0" fillId="0" borderId="0" xfId="0" applyNumberFormat="1"/>
    <xf numFmtId="0" fontId="12" fillId="0" borderId="0" xfId="0" applyFont="1" applyFill="1"/>
    <xf numFmtId="0" fontId="0" fillId="0" borderId="1" xfId="0" applyBorder="1"/>
    <xf numFmtId="0" fontId="0" fillId="0" borderId="3" xfId="0" applyFont="1" applyBorder="1"/>
    <xf numFmtId="0" fontId="0" fillId="0" borderId="6" xfId="0" applyFont="1" applyBorder="1"/>
    <xf numFmtId="0" fontId="0" fillId="14" borderId="3" xfId="0" applyFont="1" applyFill="1" applyBorder="1"/>
    <xf numFmtId="0" fontId="13" fillId="13" borderId="8" xfId="0" applyFont="1" applyFill="1" applyBorder="1"/>
    <xf numFmtId="0" fontId="0" fillId="0" borderId="5" xfId="0" applyNumberFormat="1" applyFont="1" applyFill="1" applyBorder="1"/>
    <xf numFmtId="14" fontId="0" fillId="0" borderId="6" xfId="0" applyNumberFormat="1" applyFont="1" applyFill="1" applyBorder="1"/>
    <xf numFmtId="0" fontId="0" fillId="0" borderId="6" xfId="0" applyFont="1" applyFill="1" applyBorder="1"/>
    <xf numFmtId="0" fontId="0" fillId="0" borderId="7" xfId="0" applyFont="1" applyFill="1" applyBorder="1"/>
    <xf numFmtId="0" fontId="0" fillId="0" borderId="2" xfId="0" applyNumberFormat="1" applyFont="1" applyFill="1" applyBorder="1"/>
    <xf numFmtId="14" fontId="0" fillId="0" borderId="3" xfId="0" applyNumberFormat="1" applyFont="1" applyFill="1" applyBorder="1"/>
    <xf numFmtId="0" fontId="0" fillId="0" borderId="3" xfId="0" applyFont="1" applyFill="1" applyBorder="1"/>
    <xf numFmtId="0" fontId="0" fillId="0" borderId="4" xfId="0" applyFont="1" applyFill="1" applyBorder="1"/>
    <xf numFmtId="0" fontId="14" fillId="0" borderId="5" xfId="0" applyFont="1" applyFill="1" applyBorder="1"/>
    <xf numFmtId="0" fontId="14" fillId="0" borderId="6" xfId="0" applyFont="1" applyFill="1" applyBorder="1"/>
    <xf numFmtId="0" fontId="14" fillId="0" borderId="7" xfId="0" applyFont="1" applyFill="1" applyBorder="1"/>
    <xf numFmtId="0" fontId="0" fillId="0" borderId="0" xfId="0" applyAlignment="1">
      <alignment horizontal="center"/>
    </xf>
    <xf numFmtId="0" fontId="1" fillId="3" borderId="0" xfId="0" applyFont="1" applyFill="1" applyAlignment="1">
      <alignment horizontal="center" vertical="center"/>
    </xf>
    <xf numFmtId="0" fontId="2" fillId="4" borderId="0" xfId="0" applyFont="1" applyFill="1" applyAlignment="1">
      <alignment horizontal="center" vertical="center"/>
    </xf>
    <xf numFmtId="0" fontId="3" fillId="3" borderId="0" xfId="0" applyFont="1" applyFill="1" applyAlignment="1">
      <alignment horizontal="center" vertical="center"/>
    </xf>
    <xf numFmtId="0" fontId="4" fillId="0" borderId="0" xfId="0" applyFont="1" applyAlignment="1">
      <alignment horizontal="center"/>
    </xf>
    <xf numFmtId="0" fontId="4" fillId="4" borderId="0" xfId="0" applyFont="1" applyFill="1" applyAlignment="1">
      <alignment horizontal="center"/>
    </xf>
    <xf numFmtId="0" fontId="6" fillId="2" borderId="0" xfId="0" applyFont="1" applyFill="1" applyAlignment="1">
      <alignment horizontal="center"/>
    </xf>
    <xf numFmtId="0" fontId="1" fillId="6" borderId="0" xfId="0" applyFont="1" applyFill="1" applyAlignment="1">
      <alignment vertical="center"/>
    </xf>
    <xf numFmtId="0" fontId="7" fillId="4" borderId="0" xfId="0" applyFont="1" applyFill="1" applyAlignment="1">
      <alignment horizontal="center"/>
    </xf>
    <xf numFmtId="167" fontId="0" fillId="0" borderId="0" xfId="0" applyNumberFormat="1" applyAlignment="1">
      <alignment horizontal="center" textRotation="90"/>
    </xf>
    <xf numFmtId="166" fontId="3" fillId="4" borderId="0" xfId="0" applyNumberFormat="1" applyFont="1" applyFill="1" applyAlignment="1">
      <alignment horizontal="center" vertical="center"/>
    </xf>
    <xf numFmtId="0" fontId="9" fillId="7" borderId="0" xfId="0" applyFont="1" applyFill="1" applyAlignment="1">
      <alignment horizontal="center" vertical="center"/>
    </xf>
    <xf numFmtId="165" fontId="2" fillId="4" borderId="0" xfId="0" applyNumberFormat="1" applyFont="1" applyFill="1" applyAlignment="1">
      <alignment horizontal="center" vertical="center"/>
    </xf>
    <xf numFmtId="0" fontId="8" fillId="7" borderId="0" xfId="0" applyFont="1" applyFill="1" applyAlignment="1">
      <alignment horizontal="center" vertical="center"/>
    </xf>
    <xf numFmtId="164" fontId="2" fillId="4" borderId="0" xfId="0" applyNumberFormat="1" applyFont="1" applyFill="1" applyAlignment="1">
      <alignment horizontal="center" vertical="center"/>
    </xf>
    <xf numFmtId="165" fontId="1" fillId="4" borderId="0" xfId="0" applyNumberFormat="1" applyFont="1" applyFill="1" applyAlignment="1">
      <alignment horizontal="center" vertical="center"/>
    </xf>
    <xf numFmtId="0" fontId="10" fillId="7" borderId="0" xfId="0" applyFont="1" applyFill="1" applyAlignment="1">
      <alignment horizontal="center" vertical="center"/>
    </xf>
    <xf numFmtId="0" fontId="0" fillId="12" borderId="0" xfId="0" applyFill="1" applyAlignment="1">
      <alignment horizontal="center"/>
    </xf>
  </cellXfs>
  <cellStyles count="2">
    <cellStyle name="Hyperlink" xfId="1" builtinId="8"/>
    <cellStyle name="Normal" xfId="0" builtinId="0"/>
  </cellStyles>
  <dxfs count="31">
    <dxf>
      <font>
        <color theme="0"/>
      </font>
      <fill>
        <patternFill>
          <bgColor rgb="FF92D050"/>
        </patternFill>
      </fill>
    </dxf>
    <dxf>
      <font>
        <color rgb="FF9C0006"/>
      </font>
      <fill>
        <patternFill>
          <bgColor rgb="FFFFC7CE"/>
        </patternFill>
      </fill>
    </dxf>
    <dxf>
      <font>
        <color theme="0" tint="-0.34998626667073579"/>
      </font>
      <fill>
        <patternFill>
          <bgColor rgb="FFFFFF99"/>
        </patternFill>
      </fill>
    </dxf>
    <dxf>
      <font>
        <color rgb="FF9C0006"/>
      </font>
      <fill>
        <patternFill>
          <bgColor theme="6" tint="-0.2499465926084170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FF00"/>
        </patternFill>
      </fill>
    </dxf>
    <dxf>
      <font>
        <color rgb="FF9C0006"/>
      </font>
      <fill>
        <patternFill>
          <bgColor theme="1" tint="0.499984740745262"/>
        </patternFill>
      </fill>
    </dxf>
    <dxf>
      <font>
        <color theme="0"/>
      </font>
      <fill>
        <patternFill>
          <bgColor rgb="FFFF0000"/>
        </patternFill>
      </fill>
    </dxf>
    <dxf>
      <font>
        <color theme="0"/>
      </font>
      <fill>
        <patternFill>
          <bgColor rgb="FFFF5050"/>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thin">
          <color auto="1"/>
        </left>
        <right style="thin">
          <color auto="1"/>
        </right>
        <top style="thin">
          <color auto="1"/>
        </top>
        <bottom style="thin">
          <color auto="1"/>
        </bottom>
        <vertical/>
        <horizontal/>
      </border>
    </dxf>
    <dxf>
      <numFmt numFmtId="19" formatCode="dd/mm/yyyy"/>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colors>
    <mruColors>
      <color rgb="FFFF5050"/>
      <color rgb="FFFFFF99"/>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2.xml"/><Relationship Id="rId50" Type="http://schemas.microsoft.com/office/2011/relationships/timelineCache" Target="timelineCaches/timelineCache1.xml"/><Relationship Id="rId55" Type="http://schemas.openxmlformats.org/officeDocument/2006/relationships/powerPivotData" Target="model/item.data"/><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07/relationships/slicerCache" Target="slicerCaches/slicerCache1.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7/relationships/slicerCache" Target="slicerCaches/slicerCache2.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Sheet28!$A$12:$B$12</c:f>
              <c:strCache>
                <c:ptCount val="2"/>
                <c:pt idx="0">
                  <c:v>MONISHA</c:v>
                </c:pt>
                <c:pt idx="1">
                  <c:v>DEBATE</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Sheet28!$C$11:$G$11</c:f>
              <c:strCache>
                <c:ptCount val="5"/>
                <c:pt idx="0">
                  <c:v>TEST 1</c:v>
                </c:pt>
                <c:pt idx="1">
                  <c:v>TEST 2</c:v>
                </c:pt>
                <c:pt idx="2">
                  <c:v>TEST 3</c:v>
                </c:pt>
                <c:pt idx="3">
                  <c:v>TEST 4</c:v>
                </c:pt>
                <c:pt idx="4">
                  <c:v>TEST 5</c:v>
                </c:pt>
              </c:strCache>
            </c:strRef>
          </c:cat>
          <c:val>
            <c:numRef>
              <c:f>Sheet28!$C$12:$G$12</c:f>
              <c:numCache>
                <c:formatCode>General</c:formatCode>
                <c:ptCount val="5"/>
                <c:pt idx="0">
                  <c:v>835</c:v>
                </c:pt>
                <c:pt idx="1">
                  <c:v>135</c:v>
                </c:pt>
                <c:pt idx="2">
                  <c:v>795</c:v>
                </c:pt>
                <c:pt idx="3">
                  <c:v>140</c:v>
                </c:pt>
                <c:pt idx="4">
                  <c:v>779</c:v>
                </c:pt>
              </c:numCache>
            </c:numRef>
          </c:val>
          <c:extLst>
            <c:ext xmlns:c16="http://schemas.microsoft.com/office/drawing/2014/chart" uri="{C3380CC4-5D6E-409C-BE32-E72D297353CC}">
              <c16:uniqueId val="{00000000-FE7C-47E8-8434-56EBB78E4B4C}"/>
            </c:ext>
          </c:extLst>
        </c:ser>
        <c:dLbls>
          <c:showLegendKey val="0"/>
          <c:showVal val="1"/>
          <c:showCatName val="0"/>
          <c:showSerName val="0"/>
          <c:showPercent val="0"/>
          <c:showBubbleSize val="0"/>
        </c:dLbls>
        <c:gapWidth val="84"/>
        <c:gapDepth val="53"/>
        <c:shape val="box"/>
        <c:axId val="18926287"/>
        <c:axId val="154887103"/>
        <c:axId val="0"/>
      </c:bar3DChart>
      <c:catAx>
        <c:axId val="189262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4887103"/>
        <c:crosses val="autoZero"/>
        <c:auto val="1"/>
        <c:lblAlgn val="ctr"/>
        <c:lblOffset val="100"/>
        <c:noMultiLvlLbl val="0"/>
      </c:catAx>
      <c:valAx>
        <c:axId val="154887103"/>
        <c:scaling>
          <c:orientation val="minMax"/>
        </c:scaling>
        <c:delete val="1"/>
        <c:axPos val="l"/>
        <c:numFmt formatCode="General" sourceLinked="1"/>
        <c:majorTickMark val="out"/>
        <c:minorTickMark val="none"/>
        <c:tickLblPos val="nextTo"/>
        <c:crossAx val="189262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line3DChart>
        <c:grouping val="standard"/>
        <c:varyColors val="0"/>
        <c:ser>
          <c:idx val="0"/>
          <c:order val="0"/>
          <c:tx>
            <c:strRef>
              <c:f>Sheet28!$A$7</c:f>
              <c:strCache>
                <c:ptCount val="1"/>
                <c:pt idx="0">
                  <c:v>MONISHA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cat>
            <c:strRef>
              <c:f>Sheet28!$B$6:$E$6</c:f>
              <c:strCache>
                <c:ptCount val="4"/>
                <c:pt idx="0">
                  <c:v>PRESENT</c:v>
                </c:pt>
                <c:pt idx="1">
                  <c:v>ABSENT</c:v>
                </c:pt>
                <c:pt idx="2">
                  <c:v>LEAVE</c:v>
                </c:pt>
                <c:pt idx="3">
                  <c:v>HOLIDAY</c:v>
                </c:pt>
              </c:strCache>
            </c:strRef>
          </c:cat>
          <c:val>
            <c:numRef>
              <c:f>Sheet28!$B$7:$E$7</c:f>
              <c:numCache>
                <c:formatCode>General</c:formatCode>
                <c:ptCount val="4"/>
                <c:pt idx="0">
                  <c:v>93</c:v>
                </c:pt>
                <c:pt idx="1">
                  <c:v>58</c:v>
                </c:pt>
                <c:pt idx="2">
                  <c:v>51</c:v>
                </c:pt>
                <c:pt idx="3">
                  <c:v>52</c:v>
                </c:pt>
              </c:numCache>
            </c:numRef>
          </c:val>
          <c:smooth val="0"/>
          <c:extLst>
            <c:ext xmlns:c16="http://schemas.microsoft.com/office/drawing/2014/chart" uri="{C3380CC4-5D6E-409C-BE32-E72D297353CC}">
              <c16:uniqueId val="{00000000-0969-4CD5-874B-B035B8DD75EE}"/>
            </c:ext>
          </c:extLst>
        </c:ser>
        <c:dLbls>
          <c:showLegendKey val="0"/>
          <c:showVal val="0"/>
          <c:showCatName val="0"/>
          <c:showSerName val="0"/>
          <c:showPercent val="0"/>
          <c:showBubbleSize val="0"/>
        </c:dLbls>
        <c:axId val="1714172415"/>
        <c:axId val="1580897039"/>
        <c:axId val="1581775631"/>
      </c:line3DChart>
      <c:catAx>
        <c:axId val="1714172415"/>
        <c:scaling>
          <c:orientation val="minMax"/>
        </c:scaling>
        <c:delete val="0"/>
        <c:axPos val="b"/>
        <c:numFmt formatCode="General" sourceLinked="1"/>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80897039"/>
        <c:crosses val="autoZero"/>
        <c:auto val="1"/>
        <c:lblAlgn val="ctr"/>
        <c:lblOffset val="100"/>
        <c:noMultiLvlLbl val="0"/>
      </c:catAx>
      <c:valAx>
        <c:axId val="1580897039"/>
        <c:scaling>
          <c:orientation val="minMax"/>
        </c:scaling>
        <c:delete val="0"/>
        <c:axPos val="l"/>
        <c:majorGridlines>
          <c:spPr>
            <a:ln w="9525" cap="flat" cmpd="sng" algn="ctr">
              <a:solidFill>
                <a:schemeClr val="dk1">
                  <a:lumMod val="50000"/>
                  <a:lumOff val="50000"/>
                </a:schemeClr>
              </a:solidFill>
              <a:round/>
            </a:ln>
            <a:effectLst/>
          </c:spPr>
        </c:majorGridlines>
        <c:title>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14172415"/>
        <c:crosses val="autoZero"/>
        <c:crossBetween val="between"/>
      </c:valAx>
      <c:serAx>
        <c:axId val="1581775631"/>
        <c:scaling>
          <c:orientation val="minMax"/>
        </c:scaling>
        <c:delete val="0"/>
        <c:axPos val="b"/>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80897039"/>
        <c:crosses val="autoZero"/>
      </c:ser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pieChart>
        <c:varyColors val="1"/>
        <c:ser>
          <c:idx val="0"/>
          <c:order val="0"/>
          <c:tx>
            <c:strRef>
              <c:f>Sheet28!$A$7</c:f>
              <c:strCache>
                <c:ptCount val="1"/>
                <c:pt idx="0">
                  <c:v>MONISHA</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3A58-4380-907D-28ADC8DD5315}"/>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3A58-4380-907D-28ADC8DD5315}"/>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3A58-4380-907D-28ADC8DD5315}"/>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3A58-4380-907D-28ADC8DD531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Sheet28!$B$6:$E$6</c:f>
              <c:strCache>
                <c:ptCount val="4"/>
                <c:pt idx="0">
                  <c:v>PRESENT</c:v>
                </c:pt>
                <c:pt idx="1">
                  <c:v>ABSENT</c:v>
                </c:pt>
                <c:pt idx="2">
                  <c:v>LEAVE</c:v>
                </c:pt>
                <c:pt idx="3">
                  <c:v>HOLIDAY</c:v>
                </c:pt>
              </c:strCache>
            </c:strRef>
          </c:cat>
          <c:val>
            <c:numRef>
              <c:f>Sheet28!$B$7:$E$7</c:f>
              <c:numCache>
                <c:formatCode>General</c:formatCode>
                <c:ptCount val="4"/>
                <c:pt idx="0">
                  <c:v>93</c:v>
                </c:pt>
                <c:pt idx="1">
                  <c:v>58</c:v>
                </c:pt>
                <c:pt idx="2">
                  <c:v>51</c:v>
                </c:pt>
                <c:pt idx="3">
                  <c:v>52</c:v>
                </c:pt>
              </c:numCache>
            </c:numRef>
          </c:val>
          <c:extLst>
            <c:ext xmlns:c16="http://schemas.microsoft.com/office/drawing/2014/chart" uri="{C3380CC4-5D6E-409C-BE32-E72D297353CC}">
              <c16:uniqueId val="{00000000-3789-4E9F-A037-DD589CC8E86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lineMarker"/>
        <c:varyColors val="0"/>
        <c:ser>
          <c:idx val="0"/>
          <c:order val="0"/>
          <c:tx>
            <c:strRef>
              <c:f>Sheet28!$A$12:$B$12</c:f>
              <c:strCache>
                <c:ptCount val="2"/>
                <c:pt idx="0">
                  <c:v>MONISHA</c:v>
                </c:pt>
                <c:pt idx="1">
                  <c:v>DEBATE</c:v>
                </c:pt>
              </c:strCache>
            </c:strRef>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strRef>
              <c:f>Sheet28!$C$11:$G$11</c:f>
              <c:strCache>
                <c:ptCount val="5"/>
                <c:pt idx="0">
                  <c:v>TEST 1</c:v>
                </c:pt>
                <c:pt idx="1">
                  <c:v>TEST 2</c:v>
                </c:pt>
                <c:pt idx="2">
                  <c:v>TEST 3</c:v>
                </c:pt>
                <c:pt idx="3">
                  <c:v>TEST 4</c:v>
                </c:pt>
                <c:pt idx="4">
                  <c:v>TEST 5</c:v>
                </c:pt>
              </c:strCache>
            </c:strRef>
          </c:xVal>
          <c:yVal>
            <c:numRef>
              <c:f>Sheet28!$C$12:$G$12</c:f>
              <c:numCache>
                <c:formatCode>General</c:formatCode>
                <c:ptCount val="5"/>
                <c:pt idx="0">
                  <c:v>835</c:v>
                </c:pt>
                <c:pt idx="1">
                  <c:v>135</c:v>
                </c:pt>
                <c:pt idx="2">
                  <c:v>795</c:v>
                </c:pt>
                <c:pt idx="3">
                  <c:v>140</c:v>
                </c:pt>
                <c:pt idx="4">
                  <c:v>779</c:v>
                </c:pt>
              </c:numCache>
            </c:numRef>
          </c:yVal>
          <c:smooth val="0"/>
          <c:extLst>
            <c:ext xmlns:c16="http://schemas.microsoft.com/office/drawing/2014/chart" uri="{C3380CC4-5D6E-409C-BE32-E72D297353CC}">
              <c16:uniqueId val="{00000000-E9FD-4A01-9E53-1EECAC24800A}"/>
            </c:ext>
          </c:extLst>
        </c:ser>
        <c:dLbls>
          <c:showLegendKey val="0"/>
          <c:showVal val="0"/>
          <c:showCatName val="0"/>
          <c:showSerName val="0"/>
          <c:showPercent val="0"/>
          <c:showBubbleSize val="0"/>
        </c:dLbls>
        <c:axId val="1832662159"/>
        <c:axId val="1580912015"/>
      </c:scatterChart>
      <c:valAx>
        <c:axId val="1832662159"/>
        <c:scaling>
          <c:orientation val="minMax"/>
        </c:scaling>
        <c:delete val="0"/>
        <c:axPos val="b"/>
        <c:majorGridlines>
          <c:spPr>
            <a:ln w="9525" cap="flat" cmpd="sng" algn="ctr">
              <a:solidFill>
                <a:schemeClr val="dk1">
                  <a:lumMod val="65000"/>
                  <a:lumOff val="35000"/>
                  <a:alpha val="75000"/>
                </a:schemeClr>
              </a:solidFill>
              <a:round/>
            </a:ln>
            <a:effectLst/>
          </c:spPr>
        </c:majorGridlines>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80912015"/>
        <c:crosses val="autoZero"/>
        <c:crossBetween val="midCat"/>
      </c:valAx>
      <c:valAx>
        <c:axId val="1580912015"/>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3266215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xml><?xml version="1.0" encoding="utf-8"?>
<cs:chartStyle xmlns:cs="http://schemas.microsoft.com/office/drawing/2012/chartStyle" xmlns:a="http://schemas.openxmlformats.org/drawingml/2006/main" id="3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trlProps/ctrlProp1.xml><?xml version="1.0" encoding="utf-8"?>
<formControlPr xmlns="http://schemas.microsoft.com/office/spreadsheetml/2009/9/main" objectType="Spin" dx="22" fmlaLink="$I$3" max="31" min="1" page="10"/>
</file>

<file path=xl/ctrlProps/ctrlProp2.xml><?xml version="1.0" encoding="utf-8"?>
<formControlPr xmlns="http://schemas.microsoft.com/office/spreadsheetml/2009/9/main" objectType="Spin" dx="22" fmlaLink="$J$3" max="31" min="1" page="10" val="31"/>
</file>

<file path=xl/ctrlProps/ctrlProp3.xml><?xml version="1.0" encoding="utf-8"?>
<formControlPr xmlns="http://schemas.microsoft.com/office/spreadsheetml/2009/9/main" objectType="Drop" dropStyle="combo" dx="22" fmlaLink="$I$4" fmlaRange="PRODUCT" noThreeD="1" sel="2" val="0"/>
</file>

<file path=xl/ctrlProps/ctrlProp4.xml><?xml version="1.0" encoding="utf-8"?>
<formControlPr xmlns="http://schemas.microsoft.com/office/spreadsheetml/2009/9/main" objectType="Drop" dropStyle="combo" dx="22" fmlaLink="$J$4" fmlaRange="STATE" noThreeD="1" sel="1" val="0"/>
</file>

<file path=xl/ctrlProps/ctrlProp5.xml><?xml version="1.0" encoding="utf-8"?>
<formControlPr xmlns="http://schemas.microsoft.com/office/spreadsheetml/2009/9/main" objectType="Radio" firstButton="1" fmlaLink="$A$1" lockText="1"/>
</file>

<file path=xl/ctrlProps/ctrlProp6.xml><?xml version="1.0" encoding="utf-8"?>
<formControlPr xmlns="http://schemas.microsoft.com/office/spreadsheetml/2009/9/main" objectType="Radio" checked="Checked" lockText="1"/>
</file>

<file path=xl/ctrlProps/ctrlProp7.xml><?xml version="1.0" encoding="utf-8"?>
<formControlPr xmlns="http://schemas.microsoft.com/office/spreadsheetml/2009/9/main" objectType="Drop" dropStyle="combo" dx="22" fmlaLink="$B$1" fmlaRange="LIST" sel="5" val="0"/>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5</xdr:col>
      <xdr:colOff>485775</xdr:colOff>
      <xdr:row>11</xdr:row>
      <xdr:rowOff>104775</xdr:rowOff>
    </xdr:from>
    <xdr:to>
      <xdr:col>10</xdr:col>
      <xdr:colOff>561975</xdr:colOff>
      <xdr:row>18</xdr:row>
      <xdr:rowOff>142875</xdr:rowOff>
    </xdr:to>
    <mc:AlternateContent xmlns:mc="http://schemas.openxmlformats.org/markup-compatibility/2006" xmlns:tsle="http://schemas.microsoft.com/office/drawing/2012/timeslicer">
      <mc:Choice Requires="tsle">
        <xdr:graphicFrame macro="">
          <xdr:nvGraphicFramePr>
            <xdr:cNvPr id="2" name="DATE">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4362450" y="2200275"/>
              <a:ext cx="333375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xdr:colOff>
          <xdr:row>0</xdr:row>
          <xdr:rowOff>9525</xdr:rowOff>
        </xdr:from>
        <xdr:to>
          <xdr:col>7</xdr:col>
          <xdr:colOff>571500</xdr:colOff>
          <xdr:row>4</xdr:row>
          <xdr:rowOff>9525</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xdr:colOff>
          <xdr:row>0</xdr:row>
          <xdr:rowOff>0</xdr:rowOff>
        </xdr:from>
        <xdr:to>
          <xdr:col>10</xdr:col>
          <xdr:colOff>590550</xdr:colOff>
          <xdr:row>3</xdr:row>
          <xdr:rowOff>152400</xdr:rowOff>
        </xdr:to>
        <xdr:sp macro="" textlink="">
          <xdr:nvSpPr>
            <xdr:cNvPr id="32770" name="Spinner 2" hidden="1">
              <a:extLst>
                <a:ext uri="{63B3BB69-23CF-44E3-9099-C40C66FF867C}">
                  <a14:compatExt spid="_x0000_s32770"/>
                </a:ext>
                <a:ext uri="{FF2B5EF4-FFF2-40B4-BE49-F238E27FC236}">
                  <a16:creationId xmlns:a16="http://schemas.microsoft.com/office/drawing/2014/main" id="{00000000-0008-0000-0500-000002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0</xdr:row>
          <xdr:rowOff>66675</xdr:rowOff>
        </xdr:from>
        <xdr:to>
          <xdr:col>16</xdr:col>
          <xdr:colOff>28575</xdr:colOff>
          <xdr:row>2</xdr:row>
          <xdr:rowOff>28575</xdr:rowOff>
        </xdr:to>
        <xdr:sp macro="" textlink="">
          <xdr:nvSpPr>
            <xdr:cNvPr id="32771" name="Drop Down 3" hidden="1">
              <a:extLst>
                <a:ext uri="{63B3BB69-23CF-44E3-9099-C40C66FF867C}">
                  <a14:compatExt spid="_x0000_s32771"/>
                </a:ext>
                <a:ext uri="{FF2B5EF4-FFF2-40B4-BE49-F238E27FC236}">
                  <a16:creationId xmlns:a16="http://schemas.microsoft.com/office/drawing/2014/main" id="{00000000-0008-0000-0500-000003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3</xdr:row>
          <xdr:rowOff>38100</xdr:rowOff>
        </xdr:from>
        <xdr:to>
          <xdr:col>16</xdr:col>
          <xdr:colOff>0</xdr:colOff>
          <xdr:row>5</xdr:row>
          <xdr:rowOff>28575</xdr:rowOff>
        </xdr:to>
        <xdr:sp macro="" textlink="">
          <xdr:nvSpPr>
            <xdr:cNvPr id="32772" name="Drop Down 4" hidden="1">
              <a:extLst>
                <a:ext uri="{63B3BB69-23CF-44E3-9099-C40C66FF867C}">
                  <a14:compatExt spid="_x0000_s32772"/>
                </a:ext>
                <a:ext uri="{FF2B5EF4-FFF2-40B4-BE49-F238E27FC236}">
                  <a16:creationId xmlns:a16="http://schemas.microsoft.com/office/drawing/2014/main" id="{00000000-0008-0000-0500-000004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542925</xdr:colOff>
      <xdr:row>0</xdr:row>
      <xdr:rowOff>57150</xdr:rowOff>
    </xdr:from>
    <xdr:to>
      <xdr:col>14</xdr:col>
      <xdr:colOff>9525</xdr:colOff>
      <xdr:row>3</xdr:row>
      <xdr:rowOff>123825</xdr:rowOff>
    </xdr:to>
    <mc:AlternateContent xmlns:mc="http://schemas.openxmlformats.org/markup-compatibility/2006" xmlns:a14="http://schemas.microsoft.com/office/drawing/2010/main">
      <mc:Choice Requires="a14">
        <xdr:graphicFrame macro="">
          <xdr:nvGraphicFramePr>
            <xdr:cNvPr id="3" name="STATE">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4400550" y="57150"/>
              <a:ext cx="4953000" cy="6381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561974</xdr:colOff>
      <xdr:row>4</xdr:row>
      <xdr:rowOff>1</xdr:rowOff>
    </xdr:from>
    <xdr:to>
      <xdr:col>13</xdr:col>
      <xdr:colOff>581025</xdr:colOff>
      <xdr:row>8</xdr:row>
      <xdr:rowOff>1</xdr:rowOff>
    </xdr:to>
    <mc:AlternateContent xmlns:mc="http://schemas.openxmlformats.org/markup-compatibility/2006" xmlns:a14="http://schemas.microsoft.com/office/drawing/2010/main">
      <mc:Choice Requires="a14">
        <xdr:graphicFrame macro="">
          <xdr:nvGraphicFramePr>
            <xdr:cNvPr id="4" name="PRODUCT">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4419599" y="762001"/>
              <a:ext cx="4895851" cy="76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104775</xdr:colOff>
          <xdr:row>5</xdr:row>
          <xdr:rowOff>9525</xdr:rowOff>
        </xdr:from>
        <xdr:to>
          <xdr:col>17</xdr:col>
          <xdr:colOff>95250</xdr:colOff>
          <xdr:row>7</xdr:row>
          <xdr:rowOff>28575</xdr:rowOff>
        </xdr:to>
        <xdr:sp macro="" textlink="">
          <xdr:nvSpPr>
            <xdr:cNvPr id="29697" name="Option Button 1" hidden="1">
              <a:extLst>
                <a:ext uri="{63B3BB69-23CF-44E3-9099-C40C66FF867C}">
                  <a14:compatExt spid="_x0000_s29697"/>
                </a:ext>
                <a:ext uri="{FF2B5EF4-FFF2-40B4-BE49-F238E27FC236}">
                  <a16:creationId xmlns:a16="http://schemas.microsoft.com/office/drawing/2014/main" id="{00000000-0008-0000-2A00-0000017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COMPUTER STUDENTS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5</xdr:row>
          <xdr:rowOff>19050</xdr:rowOff>
        </xdr:from>
        <xdr:to>
          <xdr:col>20</xdr:col>
          <xdr:colOff>571500</xdr:colOff>
          <xdr:row>7</xdr:row>
          <xdr:rowOff>0</xdr:rowOff>
        </xdr:to>
        <xdr:sp macro="" textlink="">
          <xdr:nvSpPr>
            <xdr:cNvPr id="29698" name="Option Button 2" hidden="1">
              <a:extLst>
                <a:ext uri="{63B3BB69-23CF-44E3-9099-C40C66FF867C}">
                  <a14:compatExt spid="_x0000_s29698"/>
                </a:ext>
                <a:ext uri="{FF2B5EF4-FFF2-40B4-BE49-F238E27FC236}">
                  <a16:creationId xmlns:a16="http://schemas.microsoft.com/office/drawing/2014/main" id="{00000000-0008-0000-2A00-0000027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ENGLISH STUDENTS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14</xdr:row>
          <xdr:rowOff>180975</xdr:rowOff>
        </xdr:from>
        <xdr:to>
          <xdr:col>20</xdr:col>
          <xdr:colOff>457200</xdr:colOff>
          <xdr:row>16</xdr:row>
          <xdr:rowOff>161925</xdr:rowOff>
        </xdr:to>
        <xdr:sp macro="" textlink="">
          <xdr:nvSpPr>
            <xdr:cNvPr id="29699" name="Drop Down 3" hidden="1">
              <a:extLst>
                <a:ext uri="{63B3BB69-23CF-44E3-9099-C40C66FF867C}">
                  <a14:compatExt spid="_x0000_s29699"/>
                </a:ext>
                <a:ext uri="{FF2B5EF4-FFF2-40B4-BE49-F238E27FC236}">
                  <a16:creationId xmlns:a16="http://schemas.microsoft.com/office/drawing/2014/main" id="{00000000-0008-0000-2A00-000003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409575</xdr:colOff>
      <xdr:row>0</xdr:row>
      <xdr:rowOff>0</xdr:rowOff>
    </xdr:from>
    <xdr:to>
      <xdr:col>12</xdr:col>
      <xdr:colOff>552451</xdr:colOff>
      <xdr:row>14</xdr:row>
      <xdr:rowOff>9525</xdr:rowOff>
    </xdr:to>
    <xdr:graphicFrame macro="">
      <xdr:nvGraphicFramePr>
        <xdr:cNvPr id="2" name="Chart 1">
          <a:extLst>
            <a:ext uri="{FF2B5EF4-FFF2-40B4-BE49-F238E27FC236}">
              <a16:creationId xmlns:a16="http://schemas.microsoft.com/office/drawing/2014/main" id="{00000000-0008-0000-2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6</xdr:col>
      <xdr:colOff>390525</xdr:colOff>
      <xdr:row>13</xdr:row>
      <xdr:rowOff>180974</xdr:rowOff>
    </xdr:to>
    <xdr:graphicFrame macro="">
      <xdr:nvGraphicFramePr>
        <xdr:cNvPr id="4" name="Chart 3">
          <a:extLst>
            <a:ext uri="{FF2B5EF4-FFF2-40B4-BE49-F238E27FC236}">
              <a16:creationId xmlns:a16="http://schemas.microsoft.com/office/drawing/2014/main" id="{00000000-0008-0000-2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14</xdr:row>
      <xdr:rowOff>14287</xdr:rowOff>
    </xdr:from>
    <xdr:to>
      <xdr:col>6</xdr:col>
      <xdr:colOff>419100</xdr:colOff>
      <xdr:row>27</xdr:row>
      <xdr:rowOff>123825</xdr:rowOff>
    </xdr:to>
    <xdr:graphicFrame macro="">
      <xdr:nvGraphicFramePr>
        <xdr:cNvPr id="5" name="Chart 4">
          <a:extLst>
            <a:ext uri="{FF2B5EF4-FFF2-40B4-BE49-F238E27FC236}">
              <a16:creationId xmlns:a16="http://schemas.microsoft.com/office/drawing/2014/main" id="{00000000-0008-0000-2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400049</xdr:colOff>
      <xdr:row>14</xdr:row>
      <xdr:rowOff>19050</xdr:rowOff>
    </xdr:from>
    <xdr:to>
      <xdr:col>12</xdr:col>
      <xdr:colOff>571500</xdr:colOff>
      <xdr:row>27</xdr:row>
      <xdr:rowOff>114300</xdr:rowOff>
    </xdr:to>
    <xdr:graphicFrame macro="">
      <xdr:nvGraphicFramePr>
        <xdr:cNvPr id="6" name="Chart 5">
          <a:extLst>
            <a:ext uri="{FF2B5EF4-FFF2-40B4-BE49-F238E27FC236}">
              <a16:creationId xmlns:a16="http://schemas.microsoft.com/office/drawing/2014/main" id="{00000000-0008-0000-2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5710.560566782406" createdVersion="6" refreshedVersion="6" minRefreshableVersion="3" recordCount="150" xr:uid="{B10F1894-394E-40C1-BC02-40DD9EEE320A}">
  <cacheSource type="worksheet">
    <worksheetSource ref="A1:O151" sheet="Sheet-3"/>
  </cacheSource>
  <cacheFields count="15">
    <cacheField name="NAME" numFmtId="0">
      <sharedItems/>
    </cacheField>
    <cacheField name="STATE" numFmtId="0">
      <sharedItems count="4">
        <s v="DELHI"/>
        <s v="HARYANA"/>
        <s v="PUNJAB"/>
        <s v="U.P"/>
      </sharedItems>
    </cacheField>
    <cacheField name="PRODUCT" numFmtId="0">
      <sharedItems count="4">
        <s v="DELL"/>
        <s v="ACER"/>
        <s v="LENOVO"/>
        <s v="APPLE"/>
      </sharedItems>
    </cacheField>
    <cacheField name="JAN" numFmtId="0">
      <sharedItems containsSemiMixedTypes="0" containsString="0" containsNumber="1" containsInteger="1" minValue="1" maxValue="100"/>
    </cacheField>
    <cacheField name="FEB" numFmtId="0">
      <sharedItems containsSemiMixedTypes="0" containsString="0" containsNumber="1" containsInteger="1" minValue="1" maxValue="100"/>
    </cacheField>
    <cacheField name="MAR" numFmtId="0">
      <sharedItems containsSemiMixedTypes="0" containsString="0" containsNumber="1" containsInteger="1" minValue="1" maxValue="100"/>
    </cacheField>
    <cacheField name="APR" numFmtId="0">
      <sharedItems containsSemiMixedTypes="0" containsString="0" containsNumber="1" containsInteger="1" minValue="1" maxValue="100"/>
    </cacheField>
    <cacheField name="MAY" numFmtId="0">
      <sharedItems containsSemiMixedTypes="0" containsString="0" containsNumber="1" containsInteger="1" minValue="1" maxValue="99"/>
    </cacheField>
    <cacheField name="JUN" numFmtId="0">
      <sharedItems containsSemiMixedTypes="0" containsString="0" containsNumber="1" containsInteger="1" minValue="1" maxValue="100"/>
    </cacheField>
    <cacheField name="JUL" numFmtId="0">
      <sharedItems containsSemiMixedTypes="0" containsString="0" containsNumber="1" containsInteger="1" minValue="1" maxValue="100"/>
    </cacheField>
    <cacheField name="AUG" numFmtId="0">
      <sharedItems containsSemiMixedTypes="0" containsString="0" containsNumber="1" containsInteger="1" minValue="2" maxValue="100"/>
    </cacheField>
    <cacheField name="SEP" numFmtId="0">
      <sharedItems containsSemiMixedTypes="0" containsString="0" containsNumber="1" containsInteger="1" minValue="1" maxValue="99"/>
    </cacheField>
    <cacheField name="OCT" numFmtId="0">
      <sharedItems containsSemiMixedTypes="0" containsString="0" containsNumber="1" containsInteger="1" minValue="1" maxValue="100"/>
    </cacheField>
    <cacheField name="NOV" numFmtId="0">
      <sharedItems containsSemiMixedTypes="0" containsString="0" containsNumber="1" containsInteger="1" minValue="1" maxValue="100"/>
    </cacheField>
    <cacheField name="DEC" numFmtId="0">
      <sharedItems containsSemiMixedTypes="0" containsString="0" containsNumber="1" containsInteger="1" minValue="2" maxValue="99"/>
    </cacheField>
  </cacheFields>
  <extLst>
    <ext xmlns:x14="http://schemas.microsoft.com/office/spreadsheetml/2009/9/main" uri="{725AE2AE-9491-48be-B2B4-4EB974FC3084}">
      <x14:pivotCacheDefinition pivotCacheId="193080299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5710.702214004632" createdVersion="6" refreshedVersion="6" minRefreshableVersion="3" recordCount="150" xr:uid="{7F0B410E-79A2-4001-BD66-E59896914B2D}">
  <cacheSource type="worksheet">
    <worksheetSource ref="A1:O151" sheet="Sheet36"/>
  </cacheSource>
  <cacheFields count="15">
    <cacheField name="DAY" numFmtId="0">
      <sharedItems containsSemiMixedTypes="0" containsString="0" containsNumber="1" containsInteger="1" minValue="1" maxValue="31" count="30">
        <n v="15"/>
        <n v="7"/>
        <n v="11"/>
        <n v="31"/>
        <n v="6"/>
        <n v="14"/>
        <n v="12"/>
        <n v="19"/>
        <n v="9"/>
        <n v="18"/>
        <n v="17"/>
        <n v="26"/>
        <n v="23"/>
        <n v="24"/>
        <n v="3"/>
        <n v="8"/>
        <n v="2"/>
        <n v="25"/>
        <n v="29"/>
        <n v="13"/>
        <n v="28"/>
        <n v="30"/>
        <n v="20"/>
        <n v="21"/>
        <n v="4"/>
        <n v="5"/>
        <n v="1"/>
        <n v="27"/>
        <n v="22"/>
        <n v="16"/>
      </sharedItems>
    </cacheField>
    <cacheField name="DATE" numFmtId="14">
      <sharedItems containsSemiMixedTypes="0" containsNonDate="0" containsDate="1" containsString="0" minDate="2024-01-03T00:00:00" maxDate="2024-12-27T00:00:00" count="121">
        <d v="2024-03-15T00:00:00"/>
        <d v="2024-05-07T00:00:00"/>
        <d v="2024-12-11T00:00:00"/>
        <d v="2024-08-31T00:00:00"/>
        <d v="2024-02-06T00:00:00"/>
        <d v="2024-11-14T00:00:00"/>
        <d v="2024-01-12T00:00:00"/>
        <d v="2024-08-19T00:00:00"/>
        <d v="2024-01-09T00:00:00"/>
        <d v="2024-06-18T00:00:00"/>
        <d v="2024-01-17T00:00:00"/>
        <d v="2024-03-26T00:00:00"/>
        <d v="2024-09-23T00:00:00"/>
        <d v="2024-12-15T00:00:00"/>
        <d v="2024-03-14T00:00:00"/>
        <d v="2024-07-15T00:00:00"/>
        <d v="2024-07-24T00:00:00"/>
        <d v="2024-12-03T00:00:00"/>
        <d v="2024-12-08T00:00:00"/>
        <d v="2024-08-17T00:00:00"/>
        <d v="2024-09-26T00:00:00"/>
        <d v="2024-11-12T00:00:00"/>
        <d v="2024-04-02T00:00:00"/>
        <d v="2024-07-25T00:00:00"/>
        <d v="2024-04-29T00:00:00"/>
        <d v="2024-07-14T00:00:00"/>
        <d v="2024-08-15T00:00:00"/>
        <d v="2024-05-13T00:00:00"/>
        <d v="2024-07-28T00:00:00"/>
        <d v="2024-10-23T00:00:00"/>
        <d v="2024-09-30T00:00:00"/>
        <d v="2024-11-20T00:00:00"/>
        <d v="2024-12-26T00:00:00"/>
        <d v="2024-09-08T00:00:00"/>
        <d v="2024-11-17T00:00:00"/>
        <d v="2024-05-03T00:00:00"/>
        <d v="2024-07-29T00:00:00"/>
        <d v="2024-06-21T00:00:00"/>
        <d v="2024-09-11T00:00:00"/>
        <d v="2024-01-29T00:00:00"/>
        <d v="2024-07-04T00:00:00"/>
        <d v="2024-12-02T00:00:00"/>
        <d v="2024-01-13T00:00:00"/>
        <d v="2024-08-07T00:00:00"/>
        <d v="2024-05-24T00:00:00"/>
        <d v="2024-03-05T00:00:00"/>
        <d v="2024-01-03T00:00:00"/>
        <d v="2024-08-29T00:00:00"/>
        <d v="2024-08-01T00:00:00"/>
        <d v="2024-04-14T00:00:00"/>
        <d v="2024-06-11T00:00:00"/>
        <d v="2024-05-05T00:00:00"/>
        <d v="2024-05-31T00:00:00"/>
        <d v="2024-10-01T00:00:00"/>
        <d v="2024-06-14T00:00:00"/>
        <d v="2024-10-24T00:00:00"/>
        <d v="2024-04-24T00:00:00"/>
        <d v="2024-03-12T00:00:00"/>
        <d v="2024-11-05T00:00:00"/>
        <d v="2024-05-11T00:00:00"/>
        <d v="2024-06-23T00:00:00"/>
        <d v="2024-06-05T00:00:00"/>
        <d v="2024-02-27T00:00:00"/>
        <d v="2024-06-22T00:00:00"/>
        <d v="2024-01-24T00:00:00"/>
        <d v="2024-05-12T00:00:00"/>
        <d v="2024-12-04T00:00:00"/>
        <d v="2024-09-02T00:00:00"/>
        <d v="2024-01-21T00:00:00"/>
        <d v="2024-09-17T00:00:00"/>
        <d v="2024-10-22T00:00:00"/>
        <d v="2024-07-13T00:00:00"/>
        <d v="2024-04-16T00:00:00"/>
        <d v="2024-07-12T00:00:00"/>
        <d v="2024-01-22T00:00:00"/>
        <d v="2024-12-12T00:00:00"/>
        <d v="2024-09-22T00:00:00"/>
        <d v="2024-06-19T00:00:00"/>
        <d v="2024-11-01T00:00:00"/>
        <d v="2024-10-09T00:00:00"/>
        <d v="2024-07-30T00:00:00"/>
        <d v="2024-03-20T00:00:00"/>
        <d v="2024-09-21T00:00:00"/>
        <d v="2024-12-16T00:00:00"/>
        <d v="2024-08-12T00:00:00"/>
        <d v="2024-03-04T00:00:00"/>
        <d v="2024-09-03T00:00:00"/>
        <d v="2024-05-16T00:00:00"/>
        <d v="2024-08-14T00:00:00"/>
        <d v="2024-07-08T00:00:00"/>
        <d v="2024-10-17T00:00:00"/>
        <d v="2024-02-05T00:00:00"/>
        <d v="2024-03-08T00:00:00"/>
        <d v="2024-05-09T00:00:00"/>
        <d v="2024-06-03T00:00:00"/>
        <d v="2024-04-15T00:00:00"/>
        <d v="2024-04-13T00:00:00"/>
        <d v="2024-10-15T00:00:00"/>
        <d v="2024-02-16T00:00:00"/>
        <d v="2024-12-09T00:00:00"/>
        <d v="2024-07-06T00:00:00"/>
        <d v="2024-05-29T00:00:00"/>
        <d v="2024-02-26T00:00:00"/>
        <d v="2024-10-08T00:00:00"/>
        <d v="2024-07-19T00:00:00"/>
        <d v="2024-08-23T00:00:00"/>
        <d v="2024-08-13T00:00:00"/>
        <d v="2024-01-06T00:00:00"/>
        <d v="2024-04-25T00:00:00"/>
        <d v="2024-07-26T00:00:00"/>
        <d v="2024-02-01T00:00:00"/>
        <d v="2024-12-01T00:00:00"/>
        <d v="2024-11-13T00:00:00"/>
        <d v="2024-09-27T00:00:00"/>
        <d v="2024-01-14T00:00:00"/>
        <d v="2024-09-28T00:00:00"/>
        <d v="2024-04-08T00:00:00"/>
        <d v="2024-04-19T00:00:00"/>
        <d v="2024-06-04T00:00:00"/>
        <d v="2024-01-25T00:00:00"/>
        <d v="2024-11-18T00:00:00"/>
      </sharedItems>
    </cacheField>
    <cacheField name="NAME" numFmtId="0">
      <sharedItems count="150">
        <s v="N1"/>
        <s v="N2"/>
        <s v="N3"/>
        <s v="N4"/>
        <s v="N5"/>
        <s v="N6"/>
        <s v="N7"/>
        <s v="N8"/>
        <s v="N9"/>
        <s v="N10"/>
        <s v="N11"/>
        <s v="N12"/>
        <s v="N13"/>
        <s v="N14"/>
        <s v="N15"/>
        <s v="N16"/>
        <s v="N17"/>
        <s v="N18"/>
        <s v="N19"/>
        <s v="N20"/>
        <s v="N21"/>
        <s v="N22"/>
        <s v="N23"/>
        <s v="N24"/>
        <s v="N25"/>
        <s v="N26"/>
        <s v="N27"/>
        <s v="N28"/>
        <s v="N29"/>
        <s v="N30"/>
        <s v="N31"/>
        <s v="N32"/>
        <s v="N33"/>
        <s v="N34"/>
        <s v="N35"/>
        <s v="N36"/>
        <s v="N37"/>
        <s v="N38"/>
        <s v="N39"/>
        <s v="N40"/>
        <s v="N41"/>
        <s v="N42"/>
        <s v="N43"/>
        <s v="N44"/>
        <s v="N45"/>
        <s v="N46"/>
        <s v="N47"/>
        <s v="N48"/>
        <s v="N49"/>
        <s v="N50"/>
        <s v="N51"/>
        <s v="N52"/>
        <s v="N53"/>
        <s v="N54"/>
        <s v="N55"/>
        <s v="N56"/>
        <s v="N57"/>
        <s v="N58"/>
        <s v="N59"/>
        <s v="N60"/>
        <s v="N61"/>
        <s v="N62"/>
        <s v="N63"/>
        <s v="N64"/>
        <s v="N65"/>
        <s v="N66"/>
        <s v="N67"/>
        <s v="N68"/>
        <s v="N69"/>
        <s v="N70"/>
        <s v="N71"/>
        <s v="N72"/>
        <s v="N73"/>
        <s v="N74"/>
        <s v="N75"/>
        <s v="N76"/>
        <s v="N77"/>
        <s v="N78"/>
        <s v="N79"/>
        <s v="N80"/>
        <s v="N81"/>
        <s v="N82"/>
        <s v="N83"/>
        <s v="N84"/>
        <s v="N85"/>
        <s v="N86"/>
        <s v="N87"/>
        <s v="N88"/>
        <s v="N89"/>
        <s v="N90"/>
        <s v="N91"/>
        <s v="N92"/>
        <s v="N93"/>
        <s v="N94"/>
        <s v="N95"/>
        <s v="N96"/>
        <s v="N97"/>
        <s v="N98"/>
        <s v="N99"/>
        <s v="N100"/>
        <s v="N101"/>
        <s v="N102"/>
        <s v="N103"/>
        <s v="N104"/>
        <s v="N105"/>
        <s v="N106"/>
        <s v="N107"/>
        <s v="N108"/>
        <s v="N109"/>
        <s v="N110"/>
        <s v="N111"/>
        <s v="N112"/>
        <s v="N113"/>
        <s v="N114"/>
        <s v="N115"/>
        <s v="N116"/>
        <s v="N117"/>
        <s v="N118"/>
        <s v="N119"/>
        <s v="N120"/>
        <s v="N121"/>
        <s v="N122"/>
        <s v="N123"/>
        <s v="N124"/>
        <s v="N125"/>
        <s v="N126"/>
        <s v="N127"/>
        <s v="N128"/>
        <s v="N129"/>
        <s v="N130"/>
        <s v="N131"/>
        <s v="N132"/>
        <s v="N133"/>
        <s v="N134"/>
        <s v="N135"/>
        <s v="N136"/>
        <s v="N137"/>
        <s v="N138"/>
        <s v="N139"/>
        <s v="N140"/>
        <s v="N141"/>
        <s v="N142"/>
        <s v="N143"/>
        <s v="N144"/>
        <s v="N145"/>
        <s v="N146"/>
        <s v="N147"/>
        <s v="N148"/>
        <s v="N149"/>
        <s v="N150"/>
      </sharedItems>
    </cacheField>
    <cacheField name="PRODUCT" numFmtId="0">
      <sharedItems count="6">
        <s v="INTEL"/>
        <s v="ASUS"/>
        <s v="DELL"/>
        <s v="ZEBRONICS"/>
        <s v="LENOVO"/>
        <s v="APPLE"/>
      </sharedItems>
    </cacheField>
    <cacheField name="STATE" numFmtId="0">
      <sharedItems/>
    </cacheField>
    <cacheField name="STORE1" numFmtId="0">
      <sharedItems containsSemiMixedTypes="0" containsString="0" containsNumber="1" containsInteger="1" minValue="10" maxValue="997" count="140">
        <n v="101"/>
        <n v="189"/>
        <n v="20"/>
        <n v="340"/>
        <n v="904"/>
        <n v="300"/>
        <n v="681"/>
        <n v="470"/>
        <n v="997"/>
        <n v="890"/>
        <n v="716"/>
        <n v="465"/>
        <n v="417"/>
        <n v="72"/>
        <n v="915"/>
        <n v="198"/>
        <n v="791"/>
        <n v="11"/>
        <n v="14"/>
        <n v="581"/>
        <n v="961"/>
        <n v="239"/>
        <n v="882"/>
        <n v="450"/>
        <n v="876"/>
        <n v="873"/>
        <n v="786"/>
        <n v="647"/>
        <n v="747"/>
        <n v="40"/>
        <n v="395"/>
        <n v="651"/>
        <n v="384"/>
        <n v="197"/>
        <n v="318"/>
        <n v="532"/>
        <n v="609"/>
        <n v="109"/>
        <n v="544"/>
        <n v="464"/>
        <n v="111"/>
        <n v="496"/>
        <n v="73"/>
        <n v="574"/>
        <n v="746"/>
        <n v="330"/>
        <n v="166"/>
        <n v="478"/>
        <n v="866"/>
        <n v="521"/>
        <n v="643"/>
        <n v="213"/>
        <n v="788"/>
        <n v="809"/>
        <n v="994"/>
        <n v="766"/>
        <n v="62"/>
        <n v="181"/>
        <n v="67"/>
        <n v="305"/>
        <n v="207"/>
        <n v="426"/>
        <n v="53"/>
        <n v="473"/>
        <n v="171"/>
        <n v="106"/>
        <n v="188"/>
        <n v="17"/>
        <n v="928"/>
        <n v="814"/>
        <n v="893"/>
        <n v="821"/>
        <n v="88"/>
        <n v="886"/>
        <n v="644"/>
        <n v="607"/>
        <n v="140"/>
        <n v="984"/>
        <n v="976"/>
        <n v="597"/>
        <n v="232"/>
        <n v="457"/>
        <n v="969"/>
        <n v="935"/>
        <n v="32"/>
        <n v="555"/>
        <n v="272"/>
        <n v="418"/>
        <n v="134"/>
        <n v="831"/>
        <n v="993"/>
        <n v="434"/>
        <n v="276"/>
        <n v="702"/>
        <n v="810"/>
        <n v="936"/>
        <n v="363"/>
        <n v="453"/>
        <n v="506"/>
        <n v="218"/>
        <n v="271"/>
        <n v="710"/>
        <n v="425"/>
        <n v="468"/>
        <n v="615"/>
        <n v="224"/>
        <n v="736"/>
        <n v="240"/>
        <n v="950"/>
        <n v="691"/>
        <n v="543"/>
        <n v="586"/>
        <n v="91"/>
        <n v="830"/>
        <n v="974"/>
        <n v="857"/>
        <n v="672"/>
        <n v="191"/>
        <n v="399"/>
        <n v="973"/>
        <n v="512"/>
        <n v="485"/>
        <n v="570"/>
        <n v="277"/>
        <n v="941"/>
        <n v="818"/>
        <n v="824"/>
        <n v="877"/>
        <n v="871"/>
        <n v="556"/>
        <n v="10"/>
        <n v="247"/>
        <n v="373"/>
        <n v="784"/>
        <n v="246"/>
        <n v="479"/>
        <n v="867"/>
        <n v="58"/>
        <n v="334"/>
        <n v="404"/>
      </sharedItems>
    </cacheField>
    <cacheField name="STORE2" numFmtId="0">
      <sharedItems containsSemiMixedTypes="0" containsString="0" containsNumber="1" containsInteger="1" minValue="19" maxValue="998"/>
    </cacheField>
    <cacheField name="STORE3" numFmtId="0">
      <sharedItems containsSemiMixedTypes="0" containsString="0" containsNumber="1" containsInteger="1" minValue="17" maxValue="994"/>
    </cacheField>
    <cacheField name="STORE4" numFmtId="0">
      <sharedItems containsSemiMixedTypes="0" containsString="0" containsNumber="1" containsInteger="1" minValue="2" maxValue="996"/>
    </cacheField>
    <cacheField name="STORE5" numFmtId="0">
      <sharedItems containsSemiMixedTypes="0" containsString="0" containsNumber="1" containsInteger="1" minValue="3" maxValue="995"/>
    </cacheField>
    <cacheField name="STORE6" numFmtId="0">
      <sharedItems containsSemiMixedTypes="0" containsString="0" containsNumber="1" containsInteger="1" minValue="2" maxValue="999"/>
    </cacheField>
    <cacheField name="STORE7" numFmtId="0">
      <sharedItems containsSemiMixedTypes="0" containsString="0" containsNumber="1" containsInteger="1" minValue="7" maxValue="996"/>
    </cacheField>
    <cacheField name="STORE8" numFmtId="0">
      <sharedItems containsSemiMixedTypes="0" containsString="0" containsNumber="1" containsInteger="1" minValue="3" maxValue="993"/>
    </cacheField>
    <cacheField name="STORE9" numFmtId="0">
      <sharedItems containsSemiMixedTypes="0" containsString="0" containsNumber="1" containsInteger="1" minValue="2" maxValue="998"/>
    </cacheField>
    <cacheField name="STORE10" numFmtId="0">
      <sharedItems containsSemiMixedTypes="0" containsString="0" containsNumber="1" containsInteger="1" minValue="3" maxValue="992"/>
    </cacheField>
  </cacheFields>
  <extLst>
    <ext xmlns:x14="http://schemas.microsoft.com/office/spreadsheetml/2009/9/main" uri="{725AE2AE-9491-48be-B2B4-4EB974FC3084}">
      <x14:pivotCacheDefinition pivotCacheId="104037998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
  <r>
    <s v="N1"/>
    <x v="0"/>
    <x v="0"/>
    <n v="7"/>
    <n v="10"/>
    <n v="16"/>
    <n v="67"/>
    <n v="76"/>
    <n v="3"/>
    <n v="92"/>
    <n v="88"/>
    <n v="25"/>
    <n v="77"/>
    <n v="45"/>
    <n v="72"/>
  </r>
  <r>
    <s v="N2"/>
    <x v="1"/>
    <x v="1"/>
    <n v="62"/>
    <n v="20"/>
    <n v="45"/>
    <n v="68"/>
    <n v="37"/>
    <n v="59"/>
    <n v="64"/>
    <n v="45"/>
    <n v="17"/>
    <n v="30"/>
    <n v="47"/>
    <n v="72"/>
  </r>
  <r>
    <s v="N3"/>
    <x v="2"/>
    <x v="2"/>
    <n v="17"/>
    <n v="49"/>
    <n v="4"/>
    <n v="8"/>
    <n v="91"/>
    <n v="73"/>
    <n v="51"/>
    <n v="54"/>
    <n v="18"/>
    <n v="97"/>
    <n v="21"/>
    <n v="73"/>
  </r>
  <r>
    <s v="N4"/>
    <x v="1"/>
    <x v="3"/>
    <n v="76"/>
    <n v="3"/>
    <n v="30"/>
    <n v="89"/>
    <n v="39"/>
    <n v="96"/>
    <n v="76"/>
    <n v="37"/>
    <n v="46"/>
    <n v="98"/>
    <n v="32"/>
    <n v="94"/>
  </r>
  <r>
    <s v="N5"/>
    <x v="2"/>
    <x v="0"/>
    <n v="78"/>
    <n v="73"/>
    <n v="2"/>
    <n v="31"/>
    <n v="16"/>
    <n v="13"/>
    <n v="38"/>
    <n v="72"/>
    <n v="22"/>
    <n v="61"/>
    <n v="10"/>
    <n v="96"/>
  </r>
  <r>
    <s v="N6"/>
    <x v="0"/>
    <x v="3"/>
    <n v="10"/>
    <n v="9"/>
    <n v="29"/>
    <n v="36"/>
    <n v="48"/>
    <n v="32"/>
    <n v="87"/>
    <n v="50"/>
    <n v="15"/>
    <n v="84"/>
    <n v="35"/>
    <n v="52"/>
  </r>
  <r>
    <s v="N7"/>
    <x v="3"/>
    <x v="1"/>
    <n v="94"/>
    <n v="41"/>
    <n v="25"/>
    <n v="32"/>
    <n v="2"/>
    <n v="36"/>
    <n v="40"/>
    <n v="47"/>
    <n v="26"/>
    <n v="31"/>
    <n v="27"/>
    <n v="37"/>
  </r>
  <r>
    <s v="N8"/>
    <x v="1"/>
    <x v="3"/>
    <n v="65"/>
    <n v="13"/>
    <n v="75"/>
    <n v="92"/>
    <n v="77"/>
    <n v="63"/>
    <n v="37"/>
    <n v="11"/>
    <n v="95"/>
    <n v="35"/>
    <n v="48"/>
    <n v="95"/>
  </r>
  <r>
    <s v="N9"/>
    <x v="1"/>
    <x v="3"/>
    <n v="90"/>
    <n v="13"/>
    <n v="83"/>
    <n v="98"/>
    <n v="88"/>
    <n v="83"/>
    <n v="24"/>
    <n v="58"/>
    <n v="13"/>
    <n v="66"/>
    <n v="66"/>
    <n v="54"/>
  </r>
  <r>
    <s v="N10"/>
    <x v="2"/>
    <x v="1"/>
    <n v="82"/>
    <n v="54"/>
    <n v="9"/>
    <n v="85"/>
    <n v="93"/>
    <n v="21"/>
    <n v="5"/>
    <n v="83"/>
    <n v="32"/>
    <n v="59"/>
    <n v="19"/>
    <n v="31"/>
  </r>
  <r>
    <s v="N11"/>
    <x v="2"/>
    <x v="3"/>
    <n v="37"/>
    <n v="33"/>
    <n v="40"/>
    <n v="43"/>
    <n v="2"/>
    <n v="75"/>
    <n v="88"/>
    <n v="80"/>
    <n v="11"/>
    <n v="27"/>
    <n v="29"/>
    <n v="98"/>
  </r>
  <r>
    <s v="N12"/>
    <x v="1"/>
    <x v="3"/>
    <n v="5"/>
    <n v="87"/>
    <n v="34"/>
    <n v="19"/>
    <n v="18"/>
    <n v="21"/>
    <n v="32"/>
    <n v="100"/>
    <n v="44"/>
    <n v="95"/>
    <n v="40"/>
    <n v="72"/>
  </r>
  <r>
    <s v="N13"/>
    <x v="1"/>
    <x v="0"/>
    <n v="44"/>
    <n v="19"/>
    <n v="33"/>
    <n v="100"/>
    <n v="14"/>
    <n v="31"/>
    <n v="50"/>
    <n v="19"/>
    <n v="21"/>
    <n v="60"/>
    <n v="69"/>
    <n v="72"/>
  </r>
  <r>
    <s v="N14"/>
    <x v="3"/>
    <x v="0"/>
    <n v="7"/>
    <n v="53"/>
    <n v="34"/>
    <n v="5"/>
    <n v="90"/>
    <n v="97"/>
    <n v="53"/>
    <n v="86"/>
    <n v="39"/>
    <n v="77"/>
    <n v="3"/>
    <n v="57"/>
  </r>
  <r>
    <s v="N15"/>
    <x v="2"/>
    <x v="3"/>
    <n v="75"/>
    <n v="19"/>
    <n v="18"/>
    <n v="61"/>
    <n v="76"/>
    <n v="21"/>
    <n v="49"/>
    <n v="6"/>
    <n v="14"/>
    <n v="63"/>
    <n v="19"/>
    <n v="87"/>
  </r>
  <r>
    <s v="N16"/>
    <x v="3"/>
    <x v="0"/>
    <n v="80"/>
    <n v="56"/>
    <n v="8"/>
    <n v="62"/>
    <n v="82"/>
    <n v="2"/>
    <n v="77"/>
    <n v="35"/>
    <n v="51"/>
    <n v="80"/>
    <n v="8"/>
    <n v="52"/>
  </r>
  <r>
    <s v="N17"/>
    <x v="3"/>
    <x v="2"/>
    <n v="83"/>
    <n v="14"/>
    <n v="14"/>
    <n v="84"/>
    <n v="33"/>
    <n v="38"/>
    <n v="66"/>
    <n v="94"/>
    <n v="27"/>
    <n v="84"/>
    <n v="54"/>
    <n v="83"/>
  </r>
  <r>
    <s v="N18"/>
    <x v="3"/>
    <x v="3"/>
    <n v="9"/>
    <n v="66"/>
    <n v="26"/>
    <n v="80"/>
    <n v="26"/>
    <n v="50"/>
    <n v="51"/>
    <n v="41"/>
    <n v="34"/>
    <n v="81"/>
    <n v="16"/>
    <n v="75"/>
  </r>
  <r>
    <s v="N19"/>
    <x v="2"/>
    <x v="3"/>
    <n v="46"/>
    <n v="65"/>
    <n v="16"/>
    <n v="46"/>
    <n v="19"/>
    <n v="89"/>
    <n v="24"/>
    <n v="69"/>
    <n v="1"/>
    <n v="77"/>
    <n v="18"/>
    <n v="64"/>
  </r>
  <r>
    <s v="N20"/>
    <x v="2"/>
    <x v="3"/>
    <n v="2"/>
    <n v="72"/>
    <n v="17"/>
    <n v="91"/>
    <n v="64"/>
    <n v="78"/>
    <n v="95"/>
    <n v="93"/>
    <n v="95"/>
    <n v="63"/>
    <n v="33"/>
    <n v="95"/>
  </r>
  <r>
    <s v="N21"/>
    <x v="2"/>
    <x v="0"/>
    <n v="52"/>
    <n v="46"/>
    <n v="49"/>
    <n v="3"/>
    <n v="90"/>
    <n v="85"/>
    <n v="44"/>
    <n v="92"/>
    <n v="35"/>
    <n v="100"/>
    <n v="95"/>
    <n v="41"/>
  </r>
  <r>
    <s v="N22"/>
    <x v="3"/>
    <x v="2"/>
    <n v="42"/>
    <n v="3"/>
    <n v="67"/>
    <n v="52"/>
    <n v="87"/>
    <n v="38"/>
    <n v="9"/>
    <n v="65"/>
    <n v="51"/>
    <n v="70"/>
    <n v="61"/>
    <n v="21"/>
  </r>
  <r>
    <s v="N23"/>
    <x v="1"/>
    <x v="0"/>
    <n v="83"/>
    <n v="31"/>
    <n v="25"/>
    <n v="83"/>
    <n v="23"/>
    <n v="23"/>
    <n v="86"/>
    <n v="46"/>
    <n v="3"/>
    <n v="35"/>
    <n v="51"/>
    <n v="5"/>
  </r>
  <r>
    <s v="N24"/>
    <x v="3"/>
    <x v="3"/>
    <n v="86"/>
    <n v="25"/>
    <n v="7"/>
    <n v="16"/>
    <n v="75"/>
    <n v="74"/>
    <n v="42"/>
    <n v="30"/>
    <n v="32"/>
    <n v="20"/>
    <n v="22"/>
    <n v="15"/>
  </r>
  <r>
    <s v="N25"/>
    <x v="1"/>
    <x v="3"/>
    <n v="74"/>
    <n v="99"/>
    <n v="87"/>
    <n v="35"/>
    <n v="42"/>
    <n v="24"/>
    <n v="55"/>
    <n v="13"/>
    <n v="16"/>
    <n v="9"/>
    <n v="67"/>
    <n v="75"/>
  </r>
  <r>
    <s v="N26"/>
    <x v="3"/>
    <x v="1"/>
    <n v="89"/>
    <n v="78"/>
    <n v="82"/>
    <n v="17"/>
    <n v="81"/>
    <n v="44"/>
    <n v="67"/>
    <n v="83"/>
    <n v="44"/>
    <n v="41"/>
    <n v="75"/>
    <n v="17"/>
  </r>
  <r>
    <s v="N27"/>
    <x v="1"/>
    <x v="1"/>
    <n v="1"/>
    <n v="58"/>
    <n v="95"/>
    <n v="41"/>
    <n v="6"/>
    <n v="78"/>
    <n v="99"/>
    <n v="15"/>
    <n v="82"/>
    <n v="79"/>
    <n v="45"/>
    <n v="67"/>
  </r>
  <r>
    <s v="N28"/>
    <x v="0"/>
    <x v="1"/>
    <n v="53"/>
    <n v="33"/>
    <n v="84"/>
    <n v="90"/>
    <n v="42"/>
    <n v="78"/>
    <n v="86"/>
    <n v="3"/>
    <n v="27"/>
    <n v="15"/>
    <n v="35"/>
    <n v="40"/>
  </r>
  <r>
    <s v="N29"/>
    <x v="2"/>
    <x v="2"/>
    <n v="88"/>
    <n v="26"/>
    <n v="13"/>
    <n v="35"/>
    <n v="74"/>
    <n v="86"/>
    <n v="26"/>
    <n v="27"/>
    <n v="37"/>
    <n v="87"/>
    <n v="6"/>
    <n v="57"/>
  </r>
  <r>
    <s v="N30"/>
    <x v="2"/>
    <x v="3"/>
    <n v="10"/>
    <n v="2"/>
    <n v="31"/>
    <n v="52"/>
    <n v="74"/>
    <n v="10"/>
    <n v="37"/>
    <n v="76"/>
    <n v="11"/>
    <n v="88"/>
    <n v="1"/>
    <n v="30"/>
  </r>
  <r>
    <s v="N31"/>
    <x v="1"/>
    <x v="3"/>
    <n v="65"/>
    <n v="90"/>
    <n v="47"/>
    <n v="95"/>
    <n v="73"/>
    <n v="91"/>
    <n v="28"/>
    <n v="59"/>
    <n v="93"/>
    <n v="56"/>
    <n v="94"/>
    <n v="38"/>
  </r>
  <r>
    <s v="N32"/>
    <x v="2"/>
    <x v="1"/>
    <n v="16"/>
    <n v="86"/>
    <n v="41"/>
    <n v="88"/>
    <n v="14"/>
    <n v="69"/>
    <n v="99"/>
    <n v="48"/>
    <n v="16"/>
    <n v="61"/>
    <n v="96"/>
    <n v="79"/>
  </r>
  <r>
    <s v="N33"/>
    <x v="1"/>
    <x v="3"/>
    <n v="60"/>
    <n v="48"/>
    <n v="65"/>
    <n v="54"/>
    <n v="80"/>
    <n v="31"/>
    <n v="79"/>
    <n v="16"/>
    <n v="84"/>
    <n v="73"/>
    <n v="70"/>
    <n v="30"/>
  </r>
  <r>
    <s v="N34"/>
    <x v="2"/>
    <x v="0"/>
    <n v="6"/>
    <n v="66"/>
    <n v="90"/>
    <n v="2"/>
    <n v="5"/>
    <n v="95"/>
    <n v="97"/>
    <n v="79"/>
    <n v="90"/>
    <n v="91"/>
    <n v="49"/>
    <n v="98"/>
  </r>
  <r>
    <s v="N35"/>
    <x v="0"/>
    <x v="0"/>
    <n v="41"/>
    <n v="79"/>
    <n v="57"/>
    <n v="65"/>
    <n v="50"/>
    <n v="21"/>
    <n v="50"/>
    <n v="35"/>
    <n v="62"/>
    <n v="74"/>
    <n v="54"/>
    <n v="62"/>
  </r>
  <r>
    <s v="N36"/>
    <x v="2"/>
    <x v="0"/>
    <n v="7"/>
    <n v="11"/>
    <n v="22"/>
    <n v="3"/>
    <n v="55"/>
    <n v="50"/>
    <n v="99"/>
    <n v="87"/>
    <n v="62"/>
    <n v="9"/>
    <n v="62"/>
    <n v="6"/>
  </r>
  <r>
    <s v="N37"/>
    <x v="1"/>
    <x v="1"/>
    <n v="63"/>
    <n v="55"/>
    <n v="20"/>
    <n v="86"/>
    <n v="27"/>
    <n v="66"/>
    <n v="15"/>
    <n v="92"/>
    <n v="99"/>
    <n v="39"/>
    <n v="66"/>
    <n v="40"/>
  </r>
  <r>
    <s v="N38"/>
    <x v="1"/>
    <x v="2"/>
    <n v="41"/>
    <n v="82"/>
    <n v="25"/>
    <n v="65"/>
    <n v="14"/>
    <n v="26"/>
    <n v="89"/>
    <n v="95"/>
    <n v="24"/>
    <n v="39"/>
    <n v="25"/>
    <n v="66"/>
  </r>
  <r>
    <s v="N39"/>
    <x v="0"/>
    <x v="3"/>
    <n v="51"/>
    <n v="87"/>
    <n v="76"/>
    <n v="30"/>
    <n v="39"/>
    <n v="19"/>
    <n v="9"/>
    <n v="65"/>
    <n v="41"/>
    <n v="25"/>
    <n v="87"/>
    <n v="29"/>
  </r>
  <r>
    <s v="N40"/>
    <x v="2"/>
    <x v="0"/>
    <n v="10"/>
    <n v="83"/>
    <n v="58"/>
    <n v="23"/>
    <n v="94"/>
    <n v="25"/>
    <n v="64"/>
    <n v="92"/>
    <n v="74"/>
    <n v="49"/>
    <n v="87"/>
    <n v="3"/>
  </r>
  <r>
    <s v="N41"/>
    <x v="1"/>
    <x v="2"/>
    <n v="67"/>
    <n v="97"/>
    <n v="59"/>
    <n v="50"/>
    <n v="83"/>
    <n v="57"/>
    <n v="1"/>
    <n v="33"/>
    <n v="50"/>
    <n v="42"/>
    <n v="15"/>
    <n v="57"/>
  </r>
  <r>
    <s v="N42"/>
    <x v="2"/>
    <x v="3"/>
    <n v="6"/>
    <n v="3"/>
    <n v="19"/>
    <n v="62"/>
    <n v="18"/>
    <n v="59"/>
    <n v="97"/>
    <n v="10"/>
    <n v="90"/>
    <n v="44"/>
    <n v="45"/>
    <n v="43"/>
  </r>
  <r>
    <s v="N43"/>
    <x v="0"/>
    <x v="3"/>
    <n v="49"/>
    <n v="32"/>
    <n v="73"/>
    <n v="23"/>
    <n v="8"/>
    <n v="5"/>
    <n v="81"/>
    <n v="49"/>
    <n v="56"/>
    <n v="49"/>
    <n v="51"/>
    <n v="77"/>
  </r>
  <r>
    <s v="N44"/>
    <x v="2"/>
    <x v="0"/>
    <n v="84"/>
    <n v="17"/>
    <n v="71"/>
    <n v="20"/>
    <n v="50"/>
    <n v="68"/>
    <n v="34"/>
    <n v="29"/>
    <n v="95"/>
    <n v="5"/>
    <n v="9"/>
    <n v="96"/>
  </r>
  <r>
    <s v="N45"/>
    <x v="1"/>
    <x v="1"/>
    <n v="77"/>
    <n v="4"/>
    <n v="62"/>
    <n v="17"/>
    <n v="27"/>
    <n v="65"/>
    <n v="37"/>
    <n v="50"/>
    <n v="12"/>
    <n v="96"/>
    <n v="79"/>
    <n v="38"/>
  </r>
  <r>
    <s v="N46"/>
    <x v="3"/>
    <x v="1"/>
    <n v="81"/>
    <n v="76"/>
    <n v="59"/>
    <n v="6"/>
    <n v="95"/>
    <n v="80"/>
    <n v="61"/>
    <n v="36"/>
    <n v="40"/>
    <n v="3"/>
    <n v="30"/>
    <n v="57"/>
  </r>
  <r>
    <s v="N47"/>
    <x v="3"/>
    <x v="2"/>
    <n v="34"/>
    <n v="87"/>
    <n v="48"/>
    <n v="56"/>
    <n v="67"/>
    <n v="64"/>
    <n v="85"/>
    <n v="13"/>
    <n v="59"/>
    <n v="27"/>
    <n v="74"/>
    <n v="91"/>
  </r>
  <r>
    <s v="N48"/>
    <x v="1"/>
    <x v="2"/>
    <n v="100"/>
    <n v="53"/>
    <n v="20"/>
    <n v="45"/>
    <n v="99"/>
    <n v="28"/>
    <n v="28"/>
    <n v="84"/>
    <n v="32"/>
    <n v="33"/>
    <n v="45"/>
    <n v="90"/>
  </r>
  <r>
    <s v="N49"/>
    <x v="1"/>
    <x v="1"/>
    <n v="49"/>
    <n v="26"/>
    <n v="40"/>
    <n v="15"/>
    <n v="42"/>
    <n v="6"/>
    <n v="69"/>
    <n v="90"/>
    <n v="25"/>
    <n v="97"/>
    <n v="54"/>
    <n v="6"/>
  </r>
  <r>
    <s v="N50"/>
    <x v="1"/>
    <x v="2"/>
    <n v="22"/>
    <n v="59"/>
    <n v="19"/>
    <n v="85"/>
    <n v="74"/>
    <n v="31"/>
    <n v="21"/>
    <n v="59"/>
    <n v="6"/>
    <n v="20"/>
    <n v="27"/>
    <n v="7"/>
  </r>
  <r>
    <s v="N51"/>
    <x v="3"/>
    <x v="3"/>
    <n v="98"/>
    <n v="93"/>
    <n v="74"/>
    <n v="36"/>
    <n v="79"/>
    <n v="70"/>
    <n v="65"/>
    <n v="86"/>
    <n v="2"/>
    <n v="21"/>
    <n v="2"/>
    <n v="67"/>
  </r>
  <r>
    <s v="N52"/>
    <x v="3"/>
    <x v="2"/>
    <n v="94"/>
    <n v="58"/>
    <n v="98"/>
    <n v="21"/>
    <n v="77"/>
    <n v="25"/>
    <n v="37"/>
    <n v="72"/>
    <n v="15"/>
    <n v="1"/>
    <n v="98"/>
    <n v="99"/>
  </r>
  <r>
    <s v="N53"/>
    <x v="1"/>
    <x v="2"/>
    <n v="70"/>
    <n v="57"/>
    <n v="95"/>
    <n v="87"/>
    <n v="77"/>
    <n v="95"/>
    <n v="15"/>
    <n v="39"/>
    <n v="21"/>
    <n v="16"/>
    <n v="11"/>
    <n v="66"/>
  </r>
  <r>
    <s v="N54"/>
    <x v="2"/>
    <x v="2"/>
    <n v="2"/>
    <n v="60"/>
    <n v="90"/>
    <n v="28"/>
    <n v="61"/>
    <n v="46"/>
    <n v="77"/>
    <n v="13"/>
    <n v="10"/>
    <n v="55"/>
    <n v="51"/>
    <n v="17"/>
  </r>
  <r>
    <s v="N55"/>
    <x v="0"/>
    <x v="1"/>
    <n v="42"/>
    <n v="57"/>
    <n v="25"/>
    <n v="77"/>
    <n v="81"/>
    <n v="83"/>
    <n v="82"/>
    <n v="25"/>
    <n v="65"/>
    <n v="21"/>
    <n v="96"/>
    <n v="81"/>
  </r>
  <r>
    <s v="N56"/>
    <x v="0"/>
    <x v="2"/>
    <n v="19"/>
    <n v="66"/>
    <n v="81"/>
    <n v="89"/>
    <n v="59"/>
    <n v="72"/>
    <n v="39"/>
    <n v="6"/>
    <n v="98"/>
    <n v="32"/>
    <n v="35"/>
    <n v="30"/>
  </r>
  <r>
    <s v="N57"/>
    <x v="0"/>
    <x v="2"/>
    <n v="27"/>
    <n v="3"/>
    <n v="34"/>
    <n v="7"/>
    <n v="31"/>
    <n v="61"/>
    <n v="69"/>
    <n v="35"/>
    <n v="7"/>
    <n v="50"/>
    <n v="42"/>
    <n v="12"/>
  </r>
  <r>
    <s v="N58"/>
    <x v="2"/>
    <x v="0"/>
    <n v="85"/>
    <n v="1"/>
    <n v="71"/>
    <n v="42"/>
    <n v="57"/>
    <n v="71"/>
    <n v="79"/>
    <n v="34"/>
    <n v="54"/>
    <n v="72"/>
    <n v="10"/>
    <n v="84"/>
  </r>
  <r>
    <s v="N59"/>
    <x v="3"/>
    <x v="1"/>
    <n v="94"/>
    <n v="79"/>
    <n v="56"/>
    <n v="2"/>
    <n v="18"/>
    <n v="34"/>
    <n v="35"/>
    <n v="10"/>
    <n v="94"/>
    <n v="72"/>
    <n v="90"/>
    <n v="64"/>
  </r>
  <r>
    <s v="N60"/>
    <x v="2"/>
    <x v="0"/>
    <n v="77"/>
    <n v="16"/>
    <n v="81"/>
    <n v="29"/>
    <n v="82"/>
    <n v="100"/>
    <n v="2"/>
    <n v="81"/>
    <n v="80"/>
    <n v="82"/>
    <n v="2"/>
    <n v="42"/>
  </r>
  <r>
    <s v="N61"/>
    <x v="0"/>
    <x v="0"/>
    <n v="40"/>
    <n v="18"/>
    <n v="41"/>
    <n v="63"/>
    <n v="25"/>
    <n v="45"/>
    <n v="75"/>
    <n v="9"/>
    <n v="57"/>
    <n v="98"/>
    <n v="85"/>
    <n v="32"/>
  </r>
  <r>
    <s v="N62"/>
    <x v="0"/>
    <x v="1"/>
    <n v="30"/>
    <n v="9"/>
    <n v="30"/>
    <n v="55"/>
    <n v="20"/>
    <n v="64"/>
    <n v="31"/>
    <n v="65"/>
    <n v="66"/>
    <n v="61"/>
    <n v="90"/>
    <n v="79"/>
  </r>
  <r>
    <s v="N63"/>
    <x v="3"/>
    <x v="0"/>
    <n v="42"/>
    <n v="79"/>
    <n v="51"/>
    <n v="25"/>
    <n v="74"/>
    <n v="67"/>
    <n v="80"/>
    <n v="81"/>
    <n v="72"/>
    <n v="11"/>
    <n v="43"/>
    <n v="7"/>
  </r>
  <r>
    <s v="N64"/>
    <x v="2"/>
    <x v="2"/>
    <n v="93"/>
    <n v="22"/>
    <n v="85"/>
    <n v="91"/>
    <n v="23"/>
    <n v="96"/>
    <n v="32"/>
    <n v="33"/>
    <n v="84"/>
    <n v="98"/>
    <n v="100"/>
    <n v="99"/>
  </r>
  <r>
    <s v="N65"/>
    <x v="2"/>
    <x v="3"/>
    <n v="67"/>
    <n v="42"/>
    <n v="94"/>
    <n v="63"/>
    <n v="83"/>
    <n v="33"/>
    <n v="43"/>
    <n v="53"/>
    <n v="40"/>
    <n v="59"/>
    <n v="9"/>
    <n v="29"/>
  </r>
  <r>
    <s v="N66"/>
    <x v="0"/>
    <x v="0"/>
    <n v="68"/>
    <n v="99"/>
    <n v="44"/>
    <n v="66"/>
    <n v="20"/>
    <n v="76"/>
    <n v="75"/>
    <n v="96"/>
    <n v="66"/>
    <n v="74"/>
    <n v="27"/>
    <n v="19"/>
  </r>
  <r>
    <s v="N67"/>
    <x v="2"/>
    <x v="1"/>
    <n v="8"/>
    <n v="54"/>
    <n v="69"/>
    <n v="67"/>
    <n v="48"/>
    <n v="67"/>
    <n v="29"/>
    <n v="26"/>
    <n v="61"/>
    <n v="53"/>
    <n v="37"/>
    <n v="32"/>
  </r>
  <r>
    <s v="N68"/>
    <x v="2"/>
    <x v="0"/>
    <n v="71"/>
    <n v="6"/>
    <n v="52"/>
    <n v="20"/>
    <n v="9"/>
    <n v="68"/>
    <n v="75"/>
    <n v="67"/>
    <n v="13"/>
    <n v="10"/>
    <n v="91"/>
    <n v="29"/>
  </r>
  <r>
    <s v="N69"/>
    <x v="3"/>
    <x v="2"/>
    <n v="43"/>
    <n v="15"/>
    <n v="63"/>
    <n v="55"/>
    <n v="31"/>
    <n v="32"/>
    <n v="40"/>
    <n v="71"/>
    <n v="76"/>
    <n v="12"/>
    <n v="70"/>
    <n v="38"/>
  </r>
  <r>
    <s v="N70"/>
    <x v="3"/>
    <x v="1"/>
    <n v="34"/>
    <n v="31"/>
    <n v="39"/>
    <n v="29"/>
    <n v="27"/>
    <n v="100"/>
    <n v="100"/>
    <n v="33"/>
    <n v="1"/>
    <n v="45"/>
    <n v="59"/>
    <n v="20"/>
  </r>
  <r>
    <s v="N71"/>
    <x v="3"/>
    <x v="2"/>
    <n v="96"/>
    <n v="47"/>
    <n v="58"/>
    <n v="81"/>
    <n v="1"/>
    <n v="18"/>
    <n v="11"/>
    <n v="83"/>
    <n v="61"/>
    <n v="58"/>
    <n v="19"/>
    <n v="7"/>
  </r>
  <r>
    <s v="N72"/>
    <x v="1"/>
    <x v="0"/>
    <n v="44"/>
    <n v="37"/>
    <n v="16"/>
    <n v="45"/>
    <n v="46"/>
    <n v="30"/>
    <n v="72"/>
    <n v="2"/>
    <n v="55"/>
    <n v="43"/>
    <n v="89"/>
    <n v="61"/>
  </r>
  <r>
    <s v="N73"/>
    <x v="2"/>
    <x v="2"/>
    <n v="78"/>
    <n v="24"/>
    <n v="16"/>
    <n v="82"/>
    <n v="34"/>
    <n v="36"/>
    <n v="40"/>
    <n v="17"/>
    <n v="88"/>
    <n v="94"/>
    <n v="39"/>
    <n v="81"/>
  </r>
  <r>
    <s v="N74"/>
    <x v="2"/>
    <x v="1"/>
    <n v="74"/>
    <n v="1"/>
    <n v="92"/>
    <n v="62"/>
    <n v="52"/>
    <n v="47"/>
    <n v="19"/>
    <n v="21"/>
    <n v="24"/>
    <n v="35"/>
    <n v="72"/>
    <n v="67"/>
  </r>
  <r>
    <s v="N75"/>
    <x v="0"/>
    <x v="2"/>
    <n v="78"/>
    <n v="72"/>
    <n v="78"/>
    <n v="9"/>
    <n v="68"/>
    <n v="84"/>
    <n v="84"/>
    <n v="10"/>
    <n v="20"/>
    <n v="81"/>
    <n v="92"/>
    <n v="54"/>
  </r>
  <r>
    <s v="N76"/>
    <x v="0"/>
    <x v="1"/>
    <n v="87"/>
    <n v="56"/>
    <n v="16"/>
    <n v="64"/>
    <n v="5"/>
    <n v="9"/>
    <n v="66"/>
    <n v="74"/>
    <n v="11"/>
    <n v="17"/>
    <n v="19"/>
    <n v="43"/>
  </r>
  <r>
    <s v="N77"/>
    <x v="2"/>
    <x v="2"/>
    <n v="100"/>
    <n v="90"/>
    <n v="14"/>
    <n v="12"/>
    <n v="99"/>
    <n v="70"/>
    <n v="91"/>
    <n v="93"/>
    <n v="64"/>
    <n v="9"/>
    <n v="28"/>
    <n v="60"/>
  </r>
  <r>
    <s v="N78"/>
    <x v="0"/>
    <x v="1"/>
    <n v="80"/>
    <n v="85"/>
    <n v="56"/>
    <n v="83"/>
    <n v="8"/>
    <n v="32"/>
    <n v="17"/>
    <n v="88"/>
    <n v="20"/>
    <n v="13"/>
    <n v="98"/>
    <n v="79"/>
  </r>
  <r>
    <s v="N79"/>
    <x v="2"/>
    <x v="1"/>
    <n v="20"/>
    <n v="19"/>
    <n v="44"/>
    <n v="93"/>
    <n v="13"/>
    <n v="76"/>
    <n v="71"/>
    <n v="37"/>
    <n v="54"/>
    <n v="39"/>
    <n v="33"/>
    <n v="98"/>
  </r>
  <r>
    <s v="N80"/>
    <x v="0"/>
    <x v="2"/>
    <n v="79"/>
    <n v="21"/>
    <n v="11"/>
    <n v="76"/>
    <n v="41"/>
    <n v="12"/>
    <n v="82"/>
    <n v="48"/>
    <n v="9"/>
    <n v="18"/>
    <n v="74"/>
    <n v="61"/>
  </r>
  <r>
    <s v="N81"/>
    <x v="0"/>
    <x v="0"/>
    <n v="37"/>
    <n v="13"/>
    <n v="78"/>
    <n v="51"/>
    <n v="26"/>
    <n v="27"/>
    <n v="65"/>
    <n v="25"/>
    <n v="11"/>
    <n v="49"/>
    <n v="12"/>
    <n v="90"/>
  </r>
  <r>
    <s v="N82"/>
    <x v="3"/>
    <x v="3"/>
    <n v="4"/>
    <n v="71"/>
    <n v="63"/>
    <n v="59"/>
    <n v="4"/>
    <n v="27"/>
    <n v="34"/>
    <n v="82"/>
    <n v="12"/>
    <n v="35"/>
    <n v="39"/>
    <n v="15"/>
  </r>
  <r>
    <s v="N83"/>
    <x v="0"/>
    <x v="3"/>
    <n v="71"/>
    <n v="46"/>
    <n v="45"/>
    <n v="92"/>
    <n v="80"/>
    <n v="41"/>
    <n v="76"/>
    <n v="59"/>
    <n v="44"/>
    <n v="2"/>
    <n v="34"/>
    <n v="9"/>
  </r>
  <r>
    <s v="N84"/>
    <x v="0"/>
    <x v="1"/>
    <n v="62"/>
    <n v="78"/>
    <n v="47"/>
    <n v="11"/>
    <n v="1"/>
    <n v="28"/>
    <n v="85"/>
    <n v="46"/>
    <n v="12"/>
    <n v="8"/>
    <n v="6"/>
    <n v="9"/>
  </r>
  <r>
    <s v="N85"/>
    <x v="1"/>
    <x v="3"/>
    <n v="75"/>
    <n v="34"/>
    <n v="91"/>
    <n v="50"/>
    <n v="51"/>
    <n v="95"/>
    <n v="36"/>
    <n v="96"/>
    <n v="35"/>
    <n v="21"/>
    <n v="13"/>
    <n v="74"/>
  </r>
  <r>
    <s v="N86"/>
    <x v="3"/>
    <x v="2"/>
    <n v="27"/>
    <n v="100"/>
    <n v="85"/>
    <n v="68"/>
    <n v="42"/>
    <n v="12"/>
    <n v="38"/>
    <n v="78"/>
    <n v="75"/>
    <n v="47"/>
    <n v="2"/>
    <n v="45"/>
  </r>
  <r>
    <s v="N87"/>
    <x v="3"/>
    <x v="0"/>
    <n v="54"/>
    <n v="95"/>
    <n v="85"/>
    <n v="88"/>
    <n v="7"/>
    <n v="59"/>
    <n v="8"/>
    <n v="21"/>
    <n v="14"/>
    <n v="70"/>
    <n v="85"/>
    <n v="88"/>
  </r>
  <r>
    <s v="N88"/>
    <x v="1"/>
    <x v="0"/>
    <n v="79"/>
    <n v="12"/>
    <n v="86"/>
    <n v="2"/>
    <n v="20"/>
    <n v="3"/>
    <n v="19"/>
    <n v="39"/>
    <n v="89"/>
    <n v="92"/>
    <n v="14"/>
    <n v="12"/>
  </r>
  <r>
    <s v="N89"/>
    <x v="1"/>
    <x v="1"/>
    <n v="77"/>
    <n v="58"/>
    <n v="44"/>
    <n v="10"/>
    <n v="30"/>
    <n v="62"/>
    <n v="59"/>
    <n v="80"/>
    <n v="85"/>
    <n v="81"/>
    <n v="12"/>
    <n v="67"/>
  </r>
  <r>
    <s v="N90"/>
    <x v="0"/>
    <x v="1"/>
    <n v="99"/>
    <n v="95"/>
    <n v="88"/>
    <n v="29"/>
    <n v="58"/>
    <n v="58"/>
    <n v="12"/>
    <n v="69"/>
    <n v="86"/>
    <n v="69"/>
    <n v="81"/>
    <n v="10"/>
  </r>
  <r>
    <s v="N91"/>
    <x v="3"/>
    <x v="2"/>
    <n v="87"/>
    <n v="60"/>
    <n v="28"/>
    <n v="53"/>
    <n v="58"/>
    <n v="55"/>
    <n v="35"/>
    <n v="43"/>
    <n v="31"/>
    <n v="2"/>
    <n v="45"/>
    <n v="41"/>
  </r>
  <r>
    <s v="N92"/>
    <x v="2"/>
    <x v="1"/>
    <n v="38"/>
    <n v="11"/>
    <n v="14"/>
    <n v="9"/>
    <n v="3"/>
    <n v="59"/>
    <n v="10"/>
    <n v="19"/>
    <n v="53"/>
    <n v="22"/>
    <n v="73"/>
    <n v="22"/>
  </r>
  <r>
    <s v="N93"/>
    <x v="2"/>
    <x v="1"/>
    <n v="8"/>
    <n v="23"/>
    <n v="68"/>
    <n v="58"/>
    <n v="12"/>
    <n v="72"/>
    <n v="76"/>
    <n v="79"/>
    <n v="50"/>
    <n v="76"/>
    <n v="90"/>
    <n v="20"/>
  </r>
  <r>
    <s v="N94"/>
    <x v="2"/>
    <x v="0"/>
    <n v="61"/>
    <n v="70"/>
    <n v="4"/>
    <n v="54"/>
    <n v="62"/>
    <n v="79"/>
    <n v="93"/>
    <n v="49"/>
    <n v="24"/>
    <n v="66"/>
    <n v="52"/>
    <n v="89"/>
  </r>
  <r>
    <s v="N95"/>
    <x v="3"/>
    <x v="2"/>
    <n v="77"/>
    <n v="7"/>
    <n v="51"/>
    <n v="75"/>
    <n v="47"/>
    <n v="89"/>
    <n v="100"/>
    <n v="8"/>
    <n v="63"/>
    <n v="33"/>
    <n v="32"/>
    <n v="68"/>
  </r>
  <r>
    <s v="N96"/>
    <x v="3"/>
    <x v="3"/>
    <n v="86"/>
    <n v="24"/>
    <n v="70"/>
    <n v="20"/>
    <n v="41"/>
    <n v="73"/>
    <n v="28"/>
    <n v="43"/>
    <n v="37"/>
    <n v="53"/>
    <n v="50"/>
    <n v="40"/>
  </r>
  <r>
    <s v="N97"/>
    <x v="1"/>
    <x v="2"/>
    <n v="86"/>
    <n v="44"/>
    <n v="94"/>
    <n v="7"/>
    <n v="96"/>
    <n v="4"/>
    <n v="41"/>
    <n v="82"/>
    <n v="77"/>
    <n v="54"/>
    <n v="88"/>
    <n v="48"/>
  </r>
  <r>
    <s v="N98"/>
    <x v="2"/>
    <x v="0"/>
    <n v="4"/>
    <n v="82"/>
    <n v="67"/>
    <n v="57"/>
    <n v="40"/>
    <n v="3"/>
    <n v="99"/>
    <n v="60"/>
    <n v="85"/>
    <n v="5"/>
    <n v="36"/>
    <n v="24"/>
  </r>
  <r>
    <s v="N99"/>
    <x v="2"/>
    <x v="3"/>
    <n v="15"/>
    <n v="25"/>
    <n v="41"/>
    <n v="4"/>
    <n v="95"/>
    <n v="36"/>
    <n v="76"/>
    <n v="91"/>
    <n v="23"/>
    <n v="5"/>
    <n v="4"/>
    <n v="12"/>
  </r>
  <r>
    <s v="N100"/>
    <x v="3"/>
    <x v="1"/>
    <n v="49"/>
    <n v="40"/>
    <n v="100"/>
    <n v="67"/>
    <n v="80"/>
    <n v="91"/>
    <n v="9"/>
    <n v="2"/>
    <n v="68"/>
    <n v="74"/>
    <n v="85"/>
    <n v="53"/>
  </r>
  <r>
    <s v="N101"/>
    <x v="2"/>
    <x v="2"/>
    <n v="28"/>
    <n v="48"/>
    <n v="63"/>
    <n v="64"/>
    <n v="56"/>
    <n v="60"/>
    <n v="4"/>
    <n v="36"/>
    <n v="52"/>
    <n v="55"/>
    <n v="22"/>
    <n v="82"/>
  </r>
  <r>
    <s v="N102"/>
    <x v="0"/>
    <x v="1"/>
    <n v="94"/>
    <n v="25"/>
    <n v="53"/>
    <n v="99"/>
    <n v="32"/>
    <n v="76"/>
    <n v="48"/>
    <n v="90"/>
    <n v="42"/>
    <n v="18"/>
    <n v="41"/>
    <n v="21"/>
  </r>
  <r>
    <s v="N103"/>
    <x v="1"/>
    <x v="1"/>
    <n v="45"/>
    <n v="70"/>
    <n v="17"/>
    <n v="88"/>
    <n v="75"/>
    <n v="19"/>
    <n v="86"/>
    <n v="64"/>
    <n v="81"/>
    <n v="44"/>
    <n v="19"/>
    <n v="2"/>
  </r>
  <r>
    <s v="N104"/>
    <x v="3"/>
    <x v="1"/>
    <n v="1"/>
    <n v="67"/>
    <n v="5"/>
    <n v="48"/>
    <n v="56"/>
    <n v="87"/>
    <n v="24"/>
    <n v="54"/>
    <n v="56"/>
    <n v="28"/>
    <n v="91"/>
    <n v="95"/>
  </r>
  <r>
    <s v="N105"/>
    <x v="1"/>
    <x v="0"/>
    <n v="23"/>
    <n v="50"/>
    <n v="16"/>
    <n v="100"/>
    <n v="19"/>
    <n v="84"/>
    <n v="63"/>
    <n v="100"/>
    <n v="93"/>
    <n v="50"/>
    <n v="84"/>
    <n v="36"/>
  </r>
  <r>
    <s v="N106"/>
    <x v="2"/>
    <x v="3"/>
    <n v="29"/>
    <n v="69"/>
    <n v="9"/>
    <n v="38"/>
    <n v="92"/>
    <n v="31"/>
    <n v="24"/>
    <n v="13"/>
    <n v="40"/>
    <n v="55"/>
    <n v="25"/>
    <n v="47"/>
  </r>
  <r>
    <s v="N107"/>
    <x v="3"/>
    <x v="3"/>
    <n v="69"/>
    <n v="47"/>
    <n v="30"/>
    <n v="52"/>
    <n v="17"/>
    <n v="8"/>
    <n v="51"/>
    <n v="65"/>
    <n v="62"/>
    <n v="50"/>
    <n v="90"/>
    <n v="61"/>
  </r>
  <r>
    <s v="N108"/>
    <x v="0"/>
    <x v="1"/>
    <n v="87"/>
    <n v="64"/>
    <n v="85"/>
    <n v="16"/>
    <n v="91"/>
    <n v="61"/>
    <n v="58"/>
    <n v="38"/>
    <n v="48"/>
    <n v="25"/>
    <n v="95"/>
    <n v="48"/>
  </r>
  <r>
    <s v="N109"/>
    <x v="0"/>
    <x v="2"/>
    <n v="60"/>
    <n v="83"/>
    <n v="40"/>
    <n v="27"/>
    <n v="43"/>
    <n v="72"/>
    <n v="82"/>
    <n v="47"/>
    <n v="72"/>
    <n v="60"/>
    <n v="79"/>
    <n v="90"/>
  </r>
  <r>
    <s v="N110"/>
    <x v="0"/>
    <x v="3"/>
    <n v="77"/>
    <n v="58"/>
    <n v="63"/>
    <n v="47"/>
    <n v="32"/>
    <n v="99"/>
    <n v="92"/>
    <n v="68"/>
    <n v="7"/>
    <n v="19"/>
    <n v="28"/>
    <n v="8"/>
  </r>
  <r>
    <s v="N111"/>
    <x v="3"/>
    <x v="0"/>
    <n v="89"/>
    <n v="20"/>
    <n v="54"/>
    <n v="93"/>
    <n v="45"/>
    <n v="58"/>
    <n v="10"/>
    <n v="57"/>
    <n v="96"/>
    <n v="51"/>
    <n v="26"/>
    <n v="9"/>
  </r>
  <r>
    <s v="N112"/>
    <x v="3"/>
    <x v="2"/>
    <n v="89"/>
    <n v="22"/>
    <n v="64"/>
    <n v="25"/>
    <n v="57"/>
    <n v="34"/>
    <n v="84"/>
    <n v="32"/>
    <n v="13"/>
    <n v="53"/>
    <n v="32"/>
    <n v="32"/>
  </r>
  <r>
    <s v="N113"/>
    <x v="0"/>
    <x v="3"/>
    <n v="47"/>
    <n v="80"/>
    <n v="21"/>
    <n v="72"/>
    <n v="1"/>
    <n v="4"/>
    <n v="39"/>
    <n v="71"/>
    <n v="41"/>
    <n v="99"/>
    <n v="74"/>
    <n v="63"/>
  </r>
  <r>
    <s v="N114"/>
    <x v="0"/>
    <x v="3"/>
    <n v="62"/>
    <n v="59"/>
    <n v="78"/>
    <n v="1"/>
    <n v="4"/>
    <n v="49"/>
    <n v="45"/>
    <n v="44"/>
    <n v="78"/>
    <n v="68"/>
    <n v="36"/>
    <n v="25"/>
  </r>
  <r>
    <s v="N115"/>
    <x v="3"/>
    <x v="0"/>
    <n v="87"/>
    <n v="85"/>
    <n v="98"/>
    <n v="39"/>
    <n v="74"/>
    <n v="48"/>
    <n v="20"/>
    <n v="40"/>
    <n v="40"/>
    <n v="4"/>
    <n v="79"/>
    <n v="78"/>
  </r>
  <r>
    <s v="N116"/>
    <x v="1"/>
    <x v="2"/>
    <n v="90"/>
    <n v="71"/>
    <n v="61"/>
    <n v="50"/>
    <n v="2"/>
    <n v="27"/>
    <n v="50"/>
    <n v="42"/>
    <n v="76"/>
    <n v="30"/>
    <n v="76"/>
    <n v="4"/>
  </r>
  <r>
    <s v="N117"/>
    <x v="3"/>
    <x v="2"/>
    <n v="85"/>
    <n v="56"/>
    <n v="59"/>
    <n v="87"/>
    <n v="11"/>
    <n v="73"/>
    <n v="59"/>
    <n v="97"/>
    <n v="33"/>
    <n v="12"/>
    <n v="37"/>
    <n v="13"/>
  </r>
  <r>
    <s v="N118"/>
    <x v="3"/>
    <x v="0"/>
    <n v="61"/>
    <n v="8"/>
    <n v="71"/>
    <n v="79"/>
    <n v="88"/>
    <n v="55"/>
    <n v="20"/>
    <n v="30"/>
    <n v="91"/>
    <n v="43"/>
    <n v="67"/>
    <n v="43"/>
  </r>
  <r>
    <s v="N119"/>
    <x v="1"/>
    <x v="2"/>
    <n v="74"/>
    <n v="52"/>
    <n v="46"/>
    <n v="64"/>
    <n v="4"/>
    <n v="77"/>
    <n v="60"/>
    <n v="6"/>
    <n v="86"/>
    <n v="65"/>
    <n v="10"/>
    <n v="22"/>
  </r>
  <r>
    <s v="N120"/>
    <x v="1"/>
    <x v="3"/>
    <n v="21"/>
    <n v="78"/>
    <n v="86"/>
    <n v="33"/>
    <n v="66"/>
    <n v="95"/>
    <n v="84"/>
    <n v="65"/>
    <n v="95"/>
    <n v="69"/>
    <n v="67"/>
    <n v="15"/>
  </r>
  <r>
    <s v="N121"/>
    <x v="2"/>
    <x v="0"/>
    <n v="87"/>
    <n v="88"/>
    <n v="100"/>
    <n v="92"/>
    <n v="15"/>
    <n v="79"/>
    <n v="6"/>
    <n v="20"/>
    <n v="37"/>
    <n v="44"/>
    <n v="87"/>
    <n v="35"/>
  </r>
  <r>
    <s v="N122"/>
    <x v="3"/>
    <x v="2"/>
    <n v="54"/>
    <n v="61"/>
    <n v="21"/>
    <n v="7"/>
    <n v="96"/>
    <n v="69"/>
    <n v="34"/>
    <n v="89"/>
    <n v="35"/>
    <n v="81"/>
    <n v="93"/>
    <n v="5"/>
  </r>
  <r>
    <s v="N123"/>
    <x v="3"/>
    <x v="2"/>
    <n v="35"/>
    <n v="76"/>
    <n v="32"/>
    <n v="68"/>
    <n v="62"/>
    <n v="9"/>
    <n v="84"/>
    <n v="58"/>
    <n v="72"/>
    <n v="62"/>
    <n v="65"/>
    <n v="88"/>
  </r>
  <r>
    <s v="N124"/>
    <x v="2"/>
    <x v="0"/>
    <n v="74"/>
    <n v="94"/>
    <n v="81"/>
    <n v="52"/>
    <n v="37"/>
    <n v="78"/>
    <n v="74"/>
    <n v="4"/>
    <n v="29"/>
    <n v="36"/>
    <n v="20"/>
    <n v="2"/>
  </r>
  <r>
    <s v="N125"/>
    <x v="1"/>
    <x v="2"/>
    <n v="28"/>
    <n v="89"/>
    <n v="87"/>
    <n v="20"/>
    <n v="13"/>
    <n v="50"/>
    <n v="64"/>
    <n v="15"/>
    <n v="58"/>
    <n v="38"/>
    <n v="90"/>
    <n v="26"/>
  </r>
  <r>
    <s v="N126"/>
    <x v="2"/>
    <x v="0"/>
    <n v="90"/>
    <n v="62"/>
    <n v="82"/>
    <n v="89"/>
    <n v="18"/>
    <n v="22"/>
    <n v="81"/>
    <n v="16"/>
    <n v="82"/>
    <n v="88"/>
    <n v="74"/>
    <n v="20"/>
  </r>
  <r>
    <s v="N127"/>
    <x v="3"/>
    <x v="2"/>
    <n v="83"/>
    <n v="43"/>
    <n v="63"/>
    <n v="88"/>
    <n v="17"/>
    <n v="86"/>
    <n v="51"/>
    <n v="2"/>
    <n v="4"/>
    <n v="36"/>
    <n v="80"/>
    <n v="68"/>
  </r>
  <r>
    <s v="N128"/>
    <x v="3"/>
    <x v="0"/>
    <n v="29"/>
    <n v="77"/>
    <n v="23"/>
    <n v="24"/>
    <n v="21"/>
    <n v="70"/>
    <n v="27"/>
    <n v="30"/>
    <n v="6"/>
    <n v="30"/>
    <n v="91"/>
    <n v="42"/>
  </r>
  <r>
    <s v="N129"/>
    <x v="0"/>
    <x v="3"/>
    <n v="82"/>
    <n v="48"/>
    <n v="77"/>
    <n v="30"/>
    <n v="63"/>
    <n v="79"/>
    <n v="32"/>
    <n v="62"/>
    <n v="17"/>
    <n v="1"/>
    <n v="64"/>
    <n v="37"/>
  </r>
  <r>
    <s v="N130"/>
    <x v="2"/>
    <x v="0"/>
    <n v="31"/>
    <n v="33"/>
    <n v="43"/>
    <n v="3"/>
    <n v="49"/>
    <n v="91"/>
    <n v="83"/>
    <n v="15"/>
    <n v="74"/>
    <n v="91"/>
    <n v="45"/>
    <n v="79"/>
  </r>
  <r>
    <s v="N131"/>
    <x v="1"/>
    <x v="3"/>
    <n v="94"/>
    <n v="34"/>
    <n v="58"/>
    <n v="47"/>
    <n v="45"/>
    <n v="40"/>
    <n v="9"/>
    <n v="75"/>
    <n v="65"/>
    <n v="56"/>
    <n v="85"/>
    <n v="12"/>
  </r>
  <r>
    <s v="N132"/>
    <x v="2"/>
    <x v="3"/>
    <n v="93"/>
    <n v="31"/>
    <n v="57"/>
    <n v="62"/>
    <n v="86"/>
    <n v="21"/>
    <n v="49"/>
    <n v="77"/>
    <n v="42"/>
    <n v="43"/>
    <n v="2"/>
    <n v="44"/>
  </r>
  <r>
    <s v="N133"/>
    <x v="0"/>
    <x v="3"/>
    <n v="1"/>
    <n v="58"/>
    <n v="96"/>
    <n v="72"/>
    <n v="57"/>
    <n v="17"/>
    <n v="82"/>
    <n v="13"/>
    <n v="1"/>
    <n v="15"/>
    <n v="79"/>
    <n v="77"/>
  </r>
  <r>
    <s v="N134"/>
    <x v="1"/>
    <x v="3"/>
    <n v="59"/>
    <n v="61"/>
    <n v="12"/>
    <n v="98"/>
    <n v="57"/>
    <n v="46"/>
    <n v="30"/>
    <n v="90"/>
    <n v="77"/>
    <n v="89"/>
    <n v="44"/>
    <n v="71"/>
  </r>
  <r>
    <s v="N135"/>
    <x v="1"/>
    <x v="3"/>
    <n v="55"/>
    <n v="9"/>
    <n v="3"/>
    <n v="18"/>
    <n v="9"/>
    <n v="62"/>
    <n v="42"/>
    <n v="17"/>
    <n v="53"/>
    <n v="21"/>
    <n v="93"/>
    <n v="33"/>
  </r>
  <r>
    <s v="N136"/>
    <x v="0"/>
    <x v="3"/>
    <n v="9"/>
    <n v="58"/>
    <n v="83"/>
    <n v="76"/>
    <n v="12"/>
    <n v="6"/>
    <n v="57"/>
    <n v="31"/>
    <n v="25"/>
    <n v="33"/>
    <n v="32"/>
    <n v="84"/>
  </r>
  <r>
    <s v="N137"/>
    <x v="1"/>
    <x v="3"/>
    <n v="1"/>
    <n v="27"/>
    <n v="1"/>
    <n v="20"/>
    <n v="12"/>
    <n v="52"/>
    <n v="79"/>
    <n v="63"/>
    <n v="18"/>
    <n v="99"/>
    <n v="76"/>
    <n v="94"/>
  </r>
  <r>
    <s v="N138"/>
    <x v="3"/>
    <x v="2"/>
    <n v="95"/>
    <n v="86"/>
    <n v="69"/>
    <n v="65"/>
    <n v="4"/>
    <n v="24"/>
    <n v="21"/>
    <n v="62"/>
    <n v="45"/>
    <n v="28"/>
    <n v="42"/>
    <n v="51"/>
  </r>
  <r>
    <s v="N139"/>
    <x v="3"/>
    <x v="1"/>
    <n v="100"/>
    <n v="53"/>
    <n v="13"/>
    <n v="10"/>
    <n v="97"/>
    <n v="45"/>
    <n v="82"/>
    <n v="72"/>
    <n v="7"/>
    <n v="18"/>
    <n v="94"/>
    <n v="78"/>
  </r>
  <r>
    <s v="N140"/>
    <x v="1"/>
    <x v="0"/>
    <n v="32"/>
    <n v="35"/>
    <n v="76"/>
    <n v="83"/>
    <n v="47"/>
    <n v="92"/>
    <n v="44"/>
    <n v="33"/>
    <n v="50"/>
    <n v="11"/>
    <n v="48"/>
    <n v="45"/>
  </r>
  <r>
    <s v="N141"/>
    <x v="0"/>
    <x v="3"/>
    <n v="49"/>
    <n v="48"/>
    <n v="31"/>
    <n v="70"/>
    <n v="19"/>
    <n v="46"/>
    <n v="85"/>
    <n v="98"/>
    <n v="26"/>
    <n v="14"/>
    <n v="65"/>
    <n v="85"/>
  </r>
  <r>
    <s v="N142"/>
    <x v="3"/>
    <x v="2"/>
    <n v="92"/>
    <n v="29"/>
    <n v="78"/>
    <n v="82"/>
    <n v="85"/>
    <n v="40"/>
    <n v="33"/>
    <n v="92"/>
    <n v="23"/>
    <n v="14"/>
    <n v="60"/>
    <n v="84"/>
  </r>
  <r>
    <s v="N143"/>
    <x v="1"/>
    <x v="2"/>
    <n v="6"/>
    <n v="75"/>
    <n v="80"/>
    <n v="78"/>
    <n v="2"/>
    <n v="85"/>
    <n v="20"/>
    <n v="7"/>
    <n v="58"/>
    <n v="84"/>
    <n v="93"/>
    <n v="95"/>
  </r>
  <r>
    <s v="N144"/>
    <x v="2"/>
    <x v="0"/>
    <n v="4"/>
    <n v="85"/>
    <n v="8"/>
    <n v="61"/>
    <n v="88"/>
    <n v="35"/>
    <n v="24"/>
    <n v="91"/>
    <n v="6"/>
    <n v="62"/>
    <n v="48"/>
    <n v="70"/>
  </r>
  <r>
    <s v="N145"/>
    <x v="1"/>
    <x v="1"/>
    <n v="82"/>
    <n v="20"/>
    <n v="51"/>
    <n v="89"/>
    <n v="70"/>
    <n v="91"/>
    <n v="39"/>
    <n v="99"/>
    <n v="50"/>
    <n v="75"/>
    <n v="27"/>
    <n v="94"/>
  </r>
  <r>
    <s v="N146"/>
    <x v="2"/>
    <x v="0"/>
    <n v="36"/>
    <n v="69"/>
    <n v="20"/>
    <n v="13"/>
    <n v="49"/>
    <n v="1"/>
    <n v="53"/>
    <n v="25"/>
    <n v="15"/>
    <n v="60"/>
    <n v="54"/>
    <n v="4"/>
  </r>
  <r>
    <s v="N147"/>
    <x v="1"/>
    <x v="3"/>
    <n v="78"/>
    <n v="43"/>
    <n v="87"/>
    <n v="64"/>
    <n v="26"/>
    <n v="74"/>
    <n v="30"/>
    <n v="65"/>
    <n v="63"/>
    <n v="93"/>
    <n v="24"/>
    <n v="31"/>
  </r>
  <r>
    <s v="N148"/>
    <x v="2"/>
    <x v="0"/>
    <n v="26"/>
    <n v="14"/>
    <n v="62"/>
    <n v="12"/>
    <n v="37"/>
    <n v="40"/>
    <n v="57"/>
    <n v="51"/>
    <n v="14"/>
    <n v="51"/>
    <n v="88"/>
    <n v="55"/>
  </r>
  <r>
    <s v="N149"/>
    <x v="1"/>
    <x v="1"/>
    <n v="62"/>
    <n v="70"/>
    <n v="67"/>
    <n v="32"/>
    <n v="53"/>
    <n v="75"/>
    <n v="9"/>
    <n v="88"/>
    <n v="96"/>
    <n v="27"/>
    <n v="3"/>
    <n v="73"/>
  </r>
  <r>
    <s v="N150"/>
    <x v="3"/>
    <x v="3"/>
    <n v="57"/>
    <n v="9"/>
    <n v="95"/>
    <n v="32"/>
    <n v="57"/>
    <n v="54"/>
    <n v="88"/>
    <n v="22"/>
    <n v="47"/>
    <n v="71"/>
    <n v="45"/>
    <n v="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
  <r>
    <x v="0"/>
    <x v="0"/>
    <x v="0"/>
    <x v="0"/>
    <s v="PUNJAB"/>
    <x v="0"/>
    <n v="220"/>
    <n v="214"/>
    <n v="714"/>
    <n v="891"/>
    <n v="927"/>
    <n v="289"/>
    <n v="155"/>
    <n v="874"/>
    <n v="344"/>
  </r>
  <r>
    <x v="1"/>
    <x v="1"/>
    <x v="1"/>
    <x v="1"/>
    <s v="U.P"/>
    <x v="1"/>
    <n v="846"/>
    <n v="470"/>
    <n v="855"/>
    <n v="199"/>
    <n v="983"/>
    <n v="106"/>
    <n v="616"/>
    <n v="338"/>
    <n v="90"/>
  </r>
  <r>
    <x v="2"/>
    <x v="2"/>
    <x v="2"/>
    <x v="2"/>
    <s v="PUNJAB"/>
    <x v="2"/>
    <n v="325"/>
    <n v="855"/>
    <n v="858"/>
    <n v="158"/>
    <n v="687"/>
    <n v="720"/>
    <n v="575"/>
    <n v="339"/>
    <n v="960"/>
  </r>
  <r>
    <x v="3"/>
    <x v="3"/>
    <x v="3"/>
    <x v="3"/>
    <s v="DELHI"/>
    <x v="3"/>
    <n v="661"/>
    <n v="786"/>
    <n v="673"/>
    <n v="135"/>
    <n v="935"/>
    <n v="309"/>
    <n v="150"/>
    <n v="413"/>
    <n v="989"/>
  </r>
  <r>
    <x v="4"/>
    <x v="4"/>
    <x v="4"/>
    <x v="0"/>
    <s v="BIHAR"/>
    <x v="4"/>
    <n v="385"/>
    <n v="862"/>
    <n v="994"/>
    <n v="69"/>
    <n v="664"/>
    <n v="403"/>
    <n v="902"/>
    <n v="793"/>
    <n v="458"/>
  </r>
  <r>
    <x v="5"/>
    <x v="5"/>
    <x v="5"/>
    <x v="4"/>
    <s v="CHANDIGARH"/>
    <x v="5"/>
    <n v="607"/>
    <n v="308"/>
    <n v="932"/>
    <n v="214"/>
    <n v="975"/>
    <n v="333"/>
    <n v="172"/>
    <n v="2"/>
    <n v="748"/>
  </r>
  <r>
    <x v="6"/>
    <x v="6"/>
    <x v="6"/>
    <x v="2"/>
    <s v="CHANDIGARH"/>
    <x v="6"/>
    <n v="896"/>
    <n v="867"/>
    <n v="6"/>
    <n v="168"/>
    <n v="16"/>
    <n v="300"/>
    <n v="3"/>
    <n v="51"/>
    <n v="731"/>
  </r>
  <r>
    <x v="7"/>
    <x v="7"/>
    <x v="7"/>
    <x v="3"/>
    <s v="PUNJAB"/>
    <x v="7"/>
    <n v="399"/>
    <n v="17"/>
    <n v="224"/>
    <n v="94"/>
    <n v="232"/>
    <n v="129"/>
    <n v="307"/>
    <n v="43"/>
    <n v="630"/>
  </r>
  <r>
    <x v="8"/>
    <x v="8"/>
    <x v="8"/>
    <x v="0"/>
    <s v="BIHAR"/>
    <x v="8"/>
    <n v="93"/>
    <n v="48"/>
    <n v="897"/>
    <n v="597"/>
    <n v="622"/>
    <n v="390"/>
    <n v="387"/>
    <n v="90"/>
    <n v="764"/>
  </r>
  <r>
    <x v="9"/>
    <x v="9"/>
    <x v="9"/>
    <x v="2"/>
    <s v="M.P"/>
    <x v="9"/>
    <n v="780"/>
    <n v="438"/>
    <n v="33"/>
    <n v="785"/>
    <n v="470"/>
    <n v="117"/>
    <n v="779"/>
    <n v="834"/>
    <n v="62"/>
  </r>
  <r>
    <x v="10"/>
    <x v="10"/>
    <x v="10"/>
    <x v="1"/>
    <s v="CHANDIGARH"/>
    <x v="10"/>
    <n v="727"/>
    <n v="440"/>
    <n v="821"/>
    <n v="239"/>
    <n v="760"/>
    <n v="904"/>
    <n v="395"/>
    <n v="507"/>
    <n v="493"/>
  </r>
  <r>
    <x v="11"/>
    <x v="11"/>
    <x v="11"/>
    <x v="1"/>
    <s v="M.P"/>
    <x v="11"/>
    <n v="134"/>
    <n v="203"/>
    <n v="517"/>
    <n v="208"/>
    <n v="689"/>
    <n v="834"/>
    <n v="833"/>
    <n v="399"/>
    <n v="192"/>
  </r>
  <r>
    <x v="12"/>
    <x v="12"/>
    <x v="12"/>
    <x v="4"/>
    <s v="DELHI"/>
    <x v="12"/>
    <n v="447"/>
    <n v="389"/>
    <n v="174"/>
    <n v="520"/>
    <n v="263"/>
    <n v="950"/>
    <n v="186"/>
    <n v="252"/>
    <n v="411"/>
  </r>
  <r>
    <x v="0"/>
    <x v="13"/>
    <x v="13"/>
    <x v="1"/>
    <s v="U.P"/>
    <x v="13"/>
    <n v="428"/>
    <n v="796"/>
    <n v="639"/>
    <n v="675"/>
    <n v="183"/>
    <n v="368"/>
    <n v="692"/>
    <n v="899"/>
    <n v="955"/>
  </r>
  <r>
    <x v="5"/>
    <x v="14"/>
    <x v="14"/>
    <x v="2"/>
    <s v="DELHI"/>
    <x v="14"/>
    <n v="490"/>
    <n v="273"/>
    <n v="744"/>
    <n v="265"/>
    <n v="454"/>
    <n v="816"/>
    <n v="747"/>
    <n v="110"/>
    <n v="923"/>
  </r>
  <r>
    <x v="0"/>
    <x v="15"/>
    <x v="15"/>
    <x v="0"/>
    <s v="PUNJAB"/>
    <x v="15"/>
    <n v="805"/>
    <n v="20"/>
    <n v="84"/>
    <n v="34"/>
    <n v="482"/>
    <n v="670"/>
    <n v="758"/>
    <n v="843"/>
    <n v="376"/>
  </r>
  <r>
    <x v="13"/>
    <x v="16"/>
    <x v="16"/>
    <x v="3"/>
    <s v="BIHAR"/>
    <x v="16"/>
    <n v="472"/>
    <n v="62"/>
    <n v="692"/>
    <n v="126"/>
    <n v="484"/>
    <n v="62"/>
    <n v="51"/>
    <n v="467"/>
    <n v="946"/>
  </r>
  <r>
    <x v="14"/>
    <x v="17"/>
    <x v="17"/>
    <x v="2"/>
    <s v="U.P"/>
    <x v="17"/>
    <n v="31"/>
    <n v="24"/>
    <n v="622"/>
    <n v="597"/>
    <n v="400"/>
    <n v="548"/>
    <n v="534"/>
    <n v="820"/>
    <n v="379"/>
  </r>
  <r>
    <x v="15"/>
    <x v="18"/>
    <x v="18"/>
    <x v="5"/>
    <s v="PUNJAB"/>
    <x v="18"/>
    <n v="91"/>
    <n v="574"/>
    <n v="779"/>
    <n v="164"/>
    <n v="448"/>
    <n v="841"/>
    <n v="167"/>
    <n v="428"/>
    <n v="15"/>
  </r>
  <r>
    <x v="10"/>
    <x v="19"/>
    <x v="19"/>
    <x v="3"/>
    <s v="DELHI"/>
    <x v="19"/>
    <n v="386"/>
    <n v="734"/>
    <n v="129"/>
    <n v="925"/>
    <n v="458"/>
    <n v="826"/>
    <n v="572"/>
    <n v="754"/>
    <n v="815"/>
  </r>
  <r>
    <x v="11"/>
    <x v="20"/>
    <x v="20"/>
    <x v="3"/>
    <s v="CHANDIGARH"/>
    <x v="20"/>
    <n v="892"/>
    <n v="717"/>
    <n v="276"/>
    <n v="648"/>
    <n v="519"/>
    <n v="680"/>
    <n v="809"/>
    <n v="38"/>
    <n v="947"/>
  </r>
  <r>
    <x v="6"/>
    <x v="21"/>
    <x v="21"/>
    <x v="4"/>
    <s v="BIHAR"/>
    <x v="21"/>
    <n v="766"/>
    <n v="912"/>
    <n v="413"/>
    <n v="157"/>
    <n v="975"/>
    <n v="623"/>
    <n v="501"/>
    <n v="608"/>
    <n v="846"/>
  </r>
  <r>
    <x v="16"/>
    <x v="22"/>
    <x v="22"/>
    <x v="0"/>
    <s v="BIHAR"/>
    <x v="22"/>
    <n v="673"/>
    <n v="531"/>
    <n v="223"/>
    <n v="646"/>
    <n v="961"/>
    <n v="596"/>
    <n v="921"/>
    <n v="737"/>
    <n v="463"/>
  </r>
  <r>
    <x v="17"/>
    <x v="23"/>
    <x v="23"/>
    <x v="1"/>
    <s v="DELHI"/>
    <x v="23"/>
    <n v="290"/>
    <n v="462"/>
    <n v="127"/>
    <n v="269"/>
    <n v="770"/>
    <n v="699"/>
    <n v="649"/>
    <n v="838"/>
    <n v="228"/>
  </r>
  <r>
    <x v="18"/>
    <x v="24"/>
    <x v="24"/>
    <x v="3"/>
    <s v="BIHAR"/>
    <x v="24"/>
    <n v="770"/>
    <n v="512"/>
    <n v="287"/>
    <n v="736"/>
    <n v="90"/>
    <n v="883"/>
    <n v="355"/>
    <n v="983"/>
    <n v="114"/>
  </r>
  <r>
    <x v="5"/>
    <x v="25"/>
    <x v="25"/>
    <x v="4"/>
    <s v="BIHAR"/>
    <x v="25"/>
    <n v="67"/>
    <n v="131"/>
    <n v="543"/>
    <n v="125"/>
    <n v="529"/>
    <n v="957"/>
    <n v="260"/>
    <n v="115"/>
    <n v="934"/>
  </r>
  <r>
    <x v="0"/>
    <x v="26"/>
    <x v="26"/>
    <x v="3"/>
    <s v="U.P"/>
    <x v="26"/>
    <n v="842"/>
    <n v="597"/>
    <n v="920"/>
    <n v="404"/>
    <n v="227"/>
    <n v="26"/>
    <n v="639"/>
    <n v="160"/>
    <n v="138"/>
  </r>
  <r>
    <x v="19"/>
    <x v="27"/>
    <x v="27"/>
    <x v="3"/>
    <s v="CHANDIGARH"/>
    <x v="27"/>
    <n v="842"/>
    <n v="199"/>
    <n v="368"/>
    <n v="406"/>
    <n v="353"/>
    <n v="599"/>
    <n v="96"/>
    <n v="810"/>
    <n v="94"/>
  </r>
  <r>
    <x v="0"/>
    <x v="0"/>
    <x v="28"/>
    <x v="2"/>
    <s v="PUNJAB"/>
    <x v="28"/>
    <n v="147"/>
    <n v="264"/>
    <n v="246"/>
    <n v="13"/>
    <n v="579"/>
    <n v="791"/>
    <n v="501"/>
    <n v="752"/>
    <n v="275"/>
  </r>
  <r>
    <x v="20"/>
    <x v="28"/>
    <x v="29"/>
    <x v="5"/>
    <s v="DELHI"/>
    <x v="29"/>
    <n v="740"/>
    <n v="606"/>
    <n v="22"/>
    <n v="426"/>
    <n v="228"/>
    <n v="533"/>
    <n v="551"/>
    <n v="674"/>
    <n v="642"/>
  </r>
  <r>
    <x v="12"/>
    <x v="29"/>
    <x v="30"/>
    <x v="2"/>
    <s v="CHANDIGARH"/>
    <x v="30"/>
    <n v="769"/>
    <n v="465"/>
    <n v="859"/>
    <n v="33"/>
    <n v="979"/>
    <n v="951"/>
    <n v="108"/>
    <n v="744"/>
    <n v="955"/>
  </r>
  <r>
    <x v="21"/>
    <x v="30"/>
    <x v="31"/>
    <x v="3"/>
    <s v="DELHI"/>
    <x v="11"/>
    <n v="155"/>
    <n v="750"/>
    <n v="416"/>
    <n v="149"/>
    <n v="933"/>
    <n v="451"/>
    <n v="95"/>
    <n v="450"/>
    <n v="787"/>
  </r>
  <r>
    <x v="22"/>
    <x v="31"/>
    <x v="32"/>
    <x v="2"/>
    <s v="U.P"/>
    <x v="31"/>
    <n v="134"/>
    <n v="599"/>
    <n v="992"/>
    <n v="748"/>
    <n v="129"/>
    <n v="78"/>
    <n v="501"/>
    <n v="682"/>
    <n v="848"/>
  </r>
  <r>
    <x v="11"/>
    <x v="32"/>
    <x v="33"/>
    <x v="3"/>
    <s v="M.P"/>
    <x v="32"/>
    <n v="489"/>
    <n v="683"/>
    <n v="976"/>
    <n v="300"/>
    <n v="712"/>
    <n v="373"/>
    <n v="834"/>
    <n v="641"/>
    <n v="158"/>
  </r>
  <r>
    <x v="12"/>
    <x v="12"/>
    <x v="34"/>
    <x v="2"/>
    <s v="CHANDIGARH"/>
    <x v="33"/>
    <n v="415"/>
    <n v="111"/>
    <n v="282"/>
    <n v="4"/>
    <n v="784"/>
    <n v="482"/>
    <n v="795"/>
    <n v="609"/>
    <n v="544"/>
  </r>
  <r>
    <x v="15"/>
    <x v="33"/>
    <x v="35"/>
    <x v="3"/>
    <s v="U.P"/>
    <x v="34"/>
    <n v="618"/>
    <n v="605"/>
    <n v="158"/>
    <n v="950"/>
    <n v="511"/>
    <n v="30"/>
    <n v="359"/>
    <n v="365"/>
    <n v="805"/>
  </r>
  <r>
    <x v="10"/>
    <x v="10"/>
    <x v="36"/>
    <x v="4"/>
    <s v="U.P"/>
    <x v="35"/>
    <n v="795"/>
    <n v="180"/>
    <n v="944"/>
    <n v="579"/>
    <n v="459"/>
    <n v="177"/>
    <n v="242"/>
    <n v="484"/>
    <n v="721"/>
  </r>
  <r>
    <x v="10"/>
    <x v="34"/>
    <x v="37"/>
    <x v="3"/>
    <s v="PUNJAB"/>
    <x v="5"/>
    <n v="604"/>
    <n v="782"/>
    <n v="813"/>
    <n v="55"/>
    <n v="10"/>
    <n v="837"/>
    <n v="563"/>
    <n v="362"/>
    <n v="872"/>
  </r>
  <r>
    <x v="14"/>
    <x v="35"/>
    <x v="38"/>
    <x v="5"/>
    <s v="M.P"/>
    <x v="36"/>
    <n v="381"/>
    <n v="791"/>
    <n v="629"/>
    <n v="143"/>
    <n v="149"/>
    <n v="787"/>
    <n v="993"/>
    <n v="912"/>
    <n v="888"/>
  </r>
  <r>
    <x v="18"/>
    <x v="36"/>
    <x v="39"/>
    <x v="1"/>
    <s v="M.P"/>
    <x v="37"/>
    <n v="681"/>
    <n v="756"/>
    <n v="595"/>
    <n v="834"/>
    <n v="29"/>
    <n v="912"/>
    <n v="109"/>
    <n v="789"/>
    <n v="102"/>
  </r>
  <r>
    <x v="23"/>
    <x v="37"/>
    <x v="40"/>
    <x v="4"/>
    <s v="DELHI"/>
    <x v="38"/>
    <n v="739"/>
    <n v="352"/>
    <n v="565"/>
    <n v="699"/>
    <n v="63"/>
    <n v="962"/>
    <n v="666"/>
    <n v="150"/>
    <n v="435"/>
  </r>
  <r>
    <x v="2"/>
    <x v="38"/>
    <x v="41"/>
    <x v="0"/>
    <s v="CHANDIGARH"/>
    <x v="39"/>
    <n v="728"/>
    <n v="685"/>
    <n v="877"/>
    <n v="411"/>
    <n v="267"/>
    <n v="789"/>
    <n v="782"/>
    <n v="241"/>
    <n v="285"/>
  </r>
  <r>
    <x v="18"/>
    <x v="39"/>
    <x v="42"/>
    <x v="2"/>
    <s v="CHANDIGARH"/>
    <x v="40"/>
    <n v="19"/>
    <n v="276"/>
    <n v="277"/>
    <n v="363"/>
    <n v="305"/>
    <n v="863"/>
    <n v="832"/>
    <n v="676"/>
    <n v="804"/>
  </r>
  <r>
    <x v="24"/>
    <x v="40"/>
    <x v="43"/>
    <x v="5"/>
    <s v="DELHI"/>
    <x v="41"/>
    <n v="893"/>
    <n v="294"/>
    <n v="178"/>
    <n v="399"/>
    <n v="407"/>
    <n v="715"/>
    <n v="310"/>
    <n v="496"/>
    <n v="673"/>
  </r>
  <r>
    <x v="16"/>
    <x v="41"/>
    <x v="44"/>
    <x v="5"/>
    <s v="DELHI"/>
    <x v="42"/>
    <n v="58"/>
    <n v="818"/>
    <n v="230"/>
    <n v="552"/>
    <n v="292"/>
    <n v="728"/>
    <n v="88"/>
    <n v="411"/>
    <n v="101"/>
  </r>
  <r>
    <x v="19"/>
    <x v="42"/>
    <x v="45"/>
    <x v="2"/>
    <s v="DELHI"/>
    <x v="43"/>
    <n v="269"/>
    <n v="230"/>
    <n v="775"/>
    <n v="772"/>
    <n v="564"/>
    <n v="673"/>
    <n v="615"/>
    <n v="37"/>
    <n v="779"/>
  </r>
  <r>
    <x v="1"/>
    <x v="43"/>
    <x v="46"/>
    <x v="3"/>
    <s v="DELHI"/>
    <x v="44"/>
    <n v="276"/>
    <n v="435"/>
    <n v="305"/>
    <n v="152"/>
    <n v="51"/>
    <n v="259"/>
    <n v="759"/>
    <n v="77"/>
    <n v="437"/>
  </r>
  <r>
    <x v="13"/>
    <x v="44"/>
    <x v="47"/>
    <x v="1"/>
    <s v="M.P"/>
    <x v="45"/>
    <n v="580"/>
    <n v="469"/>
    <n v="90"/>
    <n v="826"/>
    <n v="241"/>
    <n v="341"/>
    <n v="235"/>
    <n v="488"/>
    <n v="110"/>
  </r>
  <r>
    <x v="25"/>
    <x v="45"/>
    <x v="48"/>
    <x v="1"/>
    <s v="PUNJAB"/>
    <x v="46"/>
    <n v="891"/>
    <n v="910"/>
    <n v="495"/>
    <n v="423"/>
    <n v="712"/>
    <n v="713"/>
    <n v="678"/>
    <n v="82"/>
    <n v="16"/>
  </r>
  <r>
    <x v="14"/>
    <x v="46"/>
    <x v="49"/>
    <x v="4"/>
    <s v="CHANDIGARH"/>
    <x v="47"/>
    <n v="555"/>
    <n v="963"/>
    <n v="379"/>
    <n v="285"/>
    <n v="733"/>
    <n v="434"/>
    <n v="327"/>
    <n v="403"/>
    <n v="294"/>
  </r>
  <r>
    <x v="18"/>
    <x v="47"/>
    <x v="50"/>
    <x v="3"/>
    <s v="PUNJAB"/>
    <x v="48"/>
    <n v="928"/>
    <n v="603"/>
    <n v="456"/>
    <n v="188"/>
    <n v="686"/>
    <n v="273"/>
    <n v="691"/>
    <n v="585"/>
    <n v="4"/>
  </r>
  <r>
    <x v="26"/>
    <x v="48"/>
    <x v="51"/>
    <x v="0"/>
    <s v="DELHI"/>
    <x v="49"/>
    <n v="983"/>
    <n v="641"/>
    <n v="646"/>
    <n v="323"/>
    <n v="505"/>
    <n v="35"/>
    <n v="577"/>
    <n v="842"/>
    <n v="73"/>
  </r>
  <r>
    <x v="5"/>
    <x v="49"/>
    <x v="52"/>
    <x v="2"/>
    <s v="U.P"/>
    <x v="50"/>
    <n v="108"/>
    <n v="477"/>
    <n v="879"/>
    <n v="857"/>
    <n v="962"/>
    <n v="430"/>
    <n v="322"/>
    <n v="818"/>
    <n v="718"/>
  </r>
  <r>
    <x v="17"/>
    <x v="23"/>
    <x v="53"/>
    <x v="1"/>
    <s v="PUNJAB"/>
    <x v="51"/>
    <n v="200"/>
    <n v="431"/>
    <n v="736"/>
    <n v="354"/>
    <n v="767"/>
    <n v="185"/>
    <n v="866"/>
    <n v="285"/>
    <n v="53"/>
  </r>
  <r>
    <x v="2"/>
    <x v="50"/>
    <x v="54"/>
    <x v="1"/>
    <s v="CHANDIGARH"/>
    <x v="52"/>
    <n v="736"/>
    <n v="722"/>
    <n v="319"/>
    <n v="784"/>
    <n v="784"/>
    <n v="404"/>
    <n v="569"/>
    <n v="10"/>
    <n v="94"/>
  </r>
  <r>
    <x v="25"/>
    <x v="51"/>
    <x v="55"/>
    <x v="2"/>
    <s v="PUNJAB"/>
    <x v="53"/>
    <n v="261"/>
    <n v="248"/>
    <n v="486"/>
    <n v="949"/>
    <n v="10"/>
    <n v="187"/>
    <n v="584"/>
    <n v="676"/>
    <n v="208"/>
  </r>
  <r>
    <x v="3"/>
    <x v="52"/>
    <x v="56"/>
    <x v="2"/>
    <s v="DELHI"/>
    <x v="54"/>
    <n v="29"/>
    <n v="288"/>
    <n v="395"/>
    <n v="110"/>
    <n v="793"/>
    <n v="240"/>
    <n v="882"/>
    <n v="716"/>
    <n v="38"/>
  </r>
  <r>
    <x v="26"/>
    <x v="53"/>
    <x v="57"/>
    <x v="0"/>
    <s v="M.P"/>
    <x v="55"/>
    <n v="382"/>
    <n v="975"/>
    <n v="274"/>
    <n v="255"/>
    <n v="998"/>
    <n v="263"/>
    <n v="232"/>
    <n v="824"/>
    <n v="175"/>
  </r>
  <r>
    <x v="5"/>
    <x v="54"/>
    <x v="58"/>
    <x v="1"/>
    <s v="PUNJAB"/>
    <x v="56"/>
    <n v="66"/>
    <n v="332"/>
    <n v="53"/>
    <n v="297"/>
    <n v="621"/>
    <n v="72"/>
    <n v="159"/>
    <n v="58"/>
    <n v="222"/>
  </r>
  <r>
    <x v="13"/>
    <x v="55"/>
    <x v="59"/>
    <x v="0"/>
    <s v="PUNJAB"/>
    <x v="57"/>
    <n v="105"/>
    <n v="679"/>
    <n v="47"/>
    <n v="566"/>
    <n v="780"/>
    <n v="304"/>
    <n v="51"/>
    <n v="703"/>
    <n v="320"/>
  </r>
  <r>
    <x v="13"/>
    <x v="56"/>
    <x v="60"/>
    <x v="0"/>
    <s v="M.P"/>
    <x v="39"/>
    <n v="658"/>
    <n v="960"/>
    <n v="567"/>
    <n v="3"/>
    <n v="2"/>
    <n v="932"/>
    <n v="766"/>
    <n v="645"/>
    <n v="817"/>
  </r>
  <r>
    <x v="6"/>
    <x v="57"/>
    <x v="61"/>
    <x v="2"/>
    <s v="PUNJAB"/>
    <x v="58"/>
    <n v="836"/>
    <n v="167"/>
    <n v="138"/>
    <n v="904"/>
    <n v="693"/>
    <n v="809"/>
    <n v="125"/>
    <n v="397"/>
    <n v="569"/>
  </r>
  <r>
    <x v="25"/>
    <x v="58"/>
    <x v="62"/>
    <x v="0"/>
    <s v="CHANDIGARH"/>
    <x v="59"/>
    <n v="306"/>
    <n v="565"/>
    <n v="954"/>
    <n v="813"/>
    <n v="165"/>
    <n v="479"/>
    <n v="757"/>
    <n v="622"/>
    <n v="803"/>
  </r>
  <r>
    <x v="2"/>
    <x v="59"/>
    <x v="63"/>
    <x v="1"/>
    <s v="BIHAR"/>
    <x v="60"/>
    <n v="797"/>
    <n v="330"/>
    <n v="902"/>
    <n v="995"/>
    <n v="753"/>
    <n v="246"/>
    <n v="87"/>
    <n v="653"/>
    <n v="458"/>
  </r>
  <r>
    <x v="12"/>
    <x v="60"/>
    <x v="64"/>
    <x v="5"/>
    <s v="BIHAR"/>
    <x v="61"/>
    <n v="175"/>
    <n v="427"/>
    <n v="994"/>
    <n v="839"/>
    <n v="495"/>
    <n v="349"/>
    <n v="512"/>
    <n v="734"/>
    <n v="734"/>
  </r>
  <r>
    <x v="25"/>
    <x v="61"/>
    <x v="65"/>
    <x v="2"/>
    <s v="U.P"/>
    <x v="14"/>
    <n v="132"/>
    <n v="260"/>
    <n v="522"/>
    <n v="492"/>
    <n v="765"/>
    <n v="737"/>
    <n v="378"/>
    <n v="894"/>
    <n v="602"/>
  </r>
  <r>
    <x v="27"/>
    <x v="62"/>
    <x v="66"/>
    <x v="0"/>
    <s v="M.P"/>
    <x v="62"/>
    <n v="102"/>
    <n v="72"/>
    <n v="818"/>
    <n v="747"/>
    <n v="726"/>
    <n v="69"/>
    <n v="328"/>
    <n v="998"/>
    <n v="818"/>
  </r>
  <r>
    <x v="28"/>
    <x v="63"/>
    <x v="67"/>
    <x v="3"/>
    <s v="CHANDIGARH"/>
    <x v="63"/>
    <n v="155"/>
    <n v="118"/>
    <n v="898"/>
    <n v="760"/>
    <n v="555"/>
    <n v="43"/>
    <n v="373"/>
    <n v="184"/>
    <n v="663"/>
  </r>
  <r>
    <x v="13"/>
    <x v="64"/>
    <x v="68"/>
    <x v="1"/>
    <s v="BIHAR"/>
    <x v="64"/>
    <n v="519"/>
    <n v="941"/>
    <n v="232"/>
    <n v="710"/>
    <n v="844"/>
    <n v="492"/>
    <n v="408"/>
    <n v="462"/>
    <n v="312"/>
  </r>
  <r>
    <x v="6"/>
    <x v="65"/>
    <x v="69"/>
    <x v="2"/>
    <s v="M.P"/>
    <x v="65"/>
    <n v="725"/>
    <n v="990"/>
    <n v="924"/>
    <n v="864"/>
    <n v="620"/>
    <n v="918"/>
    <n v="24"/>
    <n v="64"/>
    <n v="826"/>
  </r>
  <r>
    <x v="24"/>
    <x v="66"/>
    <x v="70"/>
    <x v="4"/>
    <s v="BIHAR"/>
    <x v="66"/>
    <n v="43"/>
    <n v="605"/>
    <n v="687"/>
    <n v="881"/>
    <n v="541"/>
    <n v="102"/>
    <n v="744"/>
    <n v="273"/>
    <n v="126"/>
  </r>
  <r>
    <x v="16"/>
    <x v="67"/>
    <x v="71"/>
    <x v="4"/>
    <s v="BIHAR"/>
    <x v="67"/>
    <n v="761"/>
    <n v="994"/>
    <n v="645"/>
    <n v="297"/>
    <n v="725"/>
    <n v="247"/>
    <n v="357"/>
    <n v="699"/>
    <n v="122"/>
  </r>
  <r>
    <x v="23"/>
    <x v="68"/>
    <x v="72"/>
    <x v="2"/>
    <s v="U.P"/>
    <x v="68"/>
    <n v="311"/>
    <n v="951"/>
    <n v="603"/>
    <n v="885"/>
    <n v="777"/>
    <n v="419"/>
    <n v="820"/>
    <n v="608"/>
    <n v="884"/>
  </r>
  <r>
    <x v="10"/>
    <x v="69"/>
    <x v="73"/>
    <x v="0"/>
    <s v="M.P"/>
    <x v="69"/>
    <n v="405"/>
    <n v="289"/>
    <n v="295"/>
    <n v="740"/>
    <n v="325"/>
    <n v="764"/>
    <n v="628"/>
    <n v="379"/>
    <n v="587"/>
  </r>
  <r>
    <x v="5"/>
    <x v="25"/>
    <x v="74"/>
    <x v="4"/>
    <s v="BIHAR"/>
    <x v="70"/>
    <n v="283"/>
    <n v="335"/>
    <n v="170"/>
    <n v="676"/>
    <n v="776"/>
    <n v="403"/>
    <n v="605"/>
    <n v="144"/>
    <n v="36"/>
  </r>
  <r>
    <x v="28"/>
    <x v="70"/>
    <x v="75"/>
    <x v="3"/>
    <s v="PUNJAB"/>
    <x v="71"/>
    <n v="461"/>
    <n v="481"/>
    <n v="502"/>
    <n v="753"/>
    <n v="993"/>
    <n v="380"/>
    <n v="115"/>
    <n v="606"/>
    <n v="604"/>
  </r>
  <r>
    <x v="19"/>
    <x v="71"/>
    <x v="76"/>
    <x v="1"/>
    <s v="CHANDIGARH"/>
    <x v="72"/>
    <n v="965"/>
    <n v="174"/>
    <n v="181"/>
    <n v="959"/>
    <n v="134"/>
    <n v="205"/>
    <n v="494"/>
    <n v="190"/>
    <n v="774"/>
  </r>
  <r>
    <x v="29"/>
    <x v="72"/>
    <x v="77"/>
    <x v="2"/>
    <s v="U.P"/>
    <x v="73"/>
    <n v="715"/>
    <n v="730"/>
    <n v="34"/>
    <n v="766"/>
    <n v="141"/>
    <n v="368"/>
    <n v="857"/>
    <n v="180"/>
    <n v="628"/>
  </r>
  <r>
    <x v="6"/>
    <x v="73"/>
    <x v="78"/>
    <x v="4"/>
    <s v="M.P"/>
    <x v="74"/>
    <n v="759"/>
    <n v="512"/>
    <n v="488"/>
    <n v="576"/>
    <n v="397"/>
    <n v="839"/>
    <n v="26"/>
    <n v="821"/>
    <n v="420"/>
  </r>
  <r>
    <x v="9"/>
    <x v="9"/>
    <x v="79"/>
    <x v="5"/>
    <s v="BIHAR"/>
    <x v="75"/>
    <n v="72"/>
    <n v="77"/>
    <n v="845"/>
    <n v="310"/>
    <n v="355"/>
    <n v="653"/>
    <n v="220"/>
    <n v="223"/>
    <n v="514"/>
  </r>
  <r>
    <x v="28"/>
    <x v="74"/>
    <x v="80"/>
    <x v="2"/>
    <s v="M.P"/>
    <x v="76"/>
    <n v="447"/>
    <n v="458"/>
    <n v="992"/>
    <n v="717"/>
    <n v="682"/>
    <n v="863"/>
    <n v="195"/>
    <n v="339"/>
    <n v="659"/>
  </r>
  <r>
    <x v="6"/>
    <x v="75"/>
    <x v="81"/>
    <x v="2"/>
    <s v="CHANDIGARH"/>
    <x v="77"/>
    <n v="998"/>
    <n v="554"/>
    <n v="522"/>
    <n v="268"/>
    <n v="65"/>
    <n v="679"/>
    <n v="560"/>
    <n v="517"/>
    <n v="376"/>
  </r>
  <r>
    <x v="28"/>
    <x v="76"/>
    <x v="82"/>
    <x v="3"/>
    <s v="M.P"/>
    <x v="78"/>
    <n v="55"/>
    <n v="816"/>
    <n v="380"/>
    <n v="496"/>
    <n v="324"/>
    <n v="287"/>
    <n v="653"/>
    <n v="344"/>
    <n v="729"/>
  </r>
  <r>
    <x v="7"/>
    <x v="77"/>
    <x v="83"/>
    <x v="3"/>
    <s v="BIHAR"/>
    <x v="79"/>
    <n v="611"/>
    <n v="74"/>
    <n v="708"/>
    <n v="425"/>
    <n v="426"/>
    <n v="257"/>
    <n v="747"/>
    <n v="20"/>
    <n v="346"/>
  </r>
  <r>
    <x v="26"/>
    <x v="78"/>
    <x v="84"/>
    <x v="4"/>
    <s v="DELHI"/>
    <x v="80"/>
    <n v="105"/>
    <n v="781"/>
    <n v="406"/>
    <n v="539"/>
    <n v="688"/>
    <n v="186"/>
    <n v="747"/>
    <n v="479"/>
    <n v="407"/>
  </r>
  <r>
    <x v="14"/>
    <x v="35"/>
    <x v="85"/>
    <x v="4"/>
    <s v="PUNJAB"/>
    <x v="81"/>
    <n v="679"/>
    <n v="203"/>
    <n v="611"/>
    <n v="129"/>
    <n v="902"/>
    <n v="613"/>
    <n v="751"/>
    <n v="304"/>
    <n v="681"/>
  </r>
  <r>
    <x v="8"/>
    <x v="79"/>
    <x v="86"/>
    <x v="5"/>
    <s v="PUNJAB"/>
    <x v="82"/>
    <n v="777"/>
    <n v="804"/>
    <n v="486"/>
    <n v="888"/>
    <n v="378"/>
    <n v="822"/>
    <n v="532"/>
    <n v="912"/>
    <n v="712"/>
  </r>
  <r>
    <x v="21"/>
    <x v="80"/>
    <x v="87"/>
    <x v="0"/>
    <s v="BIHAR"/>
    <x v="83"/>
    <n v="387"/>
    <n v="869"/>
    <n v="366"/>
    <n v="128"/>
    <n v="650"/>
    <n v="507"/>
    <n v="745"/>
    <n v="904"/>
    <n v="244"/>
  </r>
  <r>
    <x v="22"/>
    <x v="81"/>
    <x v="88"/>
    <x v="1"/>
    <s v="PUNJAB"/>
    <x v="84"/>
    <n v="245"/>
    <n v="395"/>
    <n v="626"/>
    <n v="889"/>
    <n v="673"/>
    <n v="883"/>
    <n v="824"/>
    <n v="527"/>
    <n v="403"/>
  </r>
  <r>
    <x v="23"/>
    <x v="82"/>
    <x v="89"/>
    <x v="5"/>
    <s v="PUNJAB"/>
    <x v="85"/>
    <n v="886"/>
    <n v="586"/>
    <n v="956"/>
    <n v="489"/>
    <n v="435"/>
    <n v="360"/>
    <n v="412"/>
    <n v="535"/>
    <n v="957"/>
  </r>
  <r>
    <x v="29"/>
    <x v="83"/>
    <x v="90"/>
    <x v="3"/>
    <s v="CHANDIGARH"/>
    <x v="86"/>
    <n v="65"/>
    <n v="578"/>
    <n v="492"/>
    <n v="227"/>
    <n v="459"/>
    <n v="977"/>
    <n v="719"/>
    <n v="260"/>
    <n v="363"/>
  </r>
  <r>
    <x v="6"/>
    <x v="84"/>
    <x v="91"/>
    <x v="3"/>
    <s v="U.P"/>
    <x v="87"/>
    <n v="763"/>
    <n v="467"/>
    <n v="723"/>
    <n v="783"/>
    <n v="146"/>
    <n v="996"/>
    <n v="291"/>
    <n v="945"/>
    <n v="115"/>
  </r>
  <r>
    <x v="24"/>
    <x v="85"/>
    <x v="92"/>
    <x v="5"/>
    <s v="BIHAR"/>
    <x v="88"/>
    <n v="60"/>
    <n v="840"/>
    <n v="940"/>
    <n v="56"/>
    <n v="513"/>
    <n v="184"/>
    <n v="344"/>
    <n v="732"/>
    <n v="551"/>
  </r>
  <r>
    <x v="14"/>
    <x v="86"/>
    <x v="93"/>
    <x v="2"/>
    <s v="PUNJAB"/>
    <x v="89"/>
    <n v="337"/>
    <n v="619"/>
    <n v="595"/>
    <n v="343"/>
    <n v="75"/>
    <n v="729"/>
    <n v="75"/>
    <n v="948"/>
    <n v="461"/>
  </r>
  <r>
    <x v="29"/>
    <x v="87"/>
    <x v="94"/>
    <x v="3"/>
    <s v="DELHI"/>
    <x v="90"/>
    <n v="856"/>
    <n v="246"/>
    <n v="996"/>
    <n v="217"/>
    <n v="940"/>
    <n v="994"/>
    <n v="958"/>
    <n v="697"/>
    <n v="117"/>
  </r>
  <r>
    <x v="5"/>
    <x v="88"/>
    <x v="95"/>
    <x v="4"/>
    <s v="DELHI"/>
    <x v="91"/>
    <n v="915"/>
    <n v="437"/>
    <n v="728"/>
    <n v="580"/>
    <n v="953"/>
    <n v="53"/>
    <n v="815"/>
    <n v="743"/>
    <n v="944"/>
  </r>
  <r>
    <x v="15"/>
    <x v="89"/>
    <x v="96"/>
    <x v="0"/>
    <s v="BIHAR"/>
    <x v="92"/>
    <n v="555"/>
    <n v="294"/>
    <n v="65"/>
    <n v="416"/>
    <n v="496"/>
    <n v="384"/>
    <n v="841"/>
    <n v="995"/>
    <n v="835"/>
  </r>
  <r>
    <x v="10"/>
    <x v="90"/>
    <x v="97"/>
    <x v="5"/>
    <s v="BIHAR"/>
    <x v="93"/>
    <n v="420"/>
    <n v="133"/>
    <n v="13"/>
    <n v="290"/>
    <n v="394"/>
    <n v="980"/>
    <n v="406"/>
    <n v="327"/>
    <n v="687"/>
  </r>
  <r>
    <x v="25"/>
    <x v="91"/>
    <x v="98"/>
    <x v="4"/>
    <s v="CHANDIGARH"/>
    <x v="22"/>
    <n v="41"/>
    <n v="385"/>
    <n v="702"/>
    <n v="226"/>
    <n v="730"/>
    <n v="596"/>
    <n v="102"/>
    <n v="924"/>
    <n v="182"/>
  </r>
  <r>
    <x v="15"/>
    <x v="92"/>
    <x v="99"/>
    <x v="0"/>
    <s v="M.P"/>
    <x v="94"/>
    <n v="793"/>
    <n v="456"/>
    <n v="594"/>
    <n v="226"/>
    <n v="217"/>
    <n v="919"/>
    <n v="489"/>
    <n v="726"/>
    <n v="690"/>
  </r>
  <r>
    <x v="8"/>
    <x v="93"/>
    <x v="100"/>
    <x v="5"/>
    <s v="PUNJAB"/>
    <x v="95"/>
    <n v="163"/>
    <n v="909"/>
    <n v="816"/>
    <n v="619"/>
    <n v="909"/>
    <n v="962"/>
    <n v="451"/>
    <n v="708"/>
    <n v="131"/>
  </r>
  <r>
    <x v="8"/>
    <x v="93"/>
    <x v="101"/>
    <x v="5"/>
    <s v="PUNJAB"/>
    <x v="96"/>
    <n v="86"/>
    <n v="620"/>
    <n v="50"/>
    <n v="943"/>
    <n v="775"/>
    <n v="330"/>
    <n v="324"/>
    <n v="984"/>
    <n v="897"/>
  </r>
  <r>
    <x v="14"/>
    <x v="94"/>
    <x v="102"/>
    <x v="1"/>
    <s v="DELHI"/>
    <x v="97"/>
    <n v="802"/>
    <n v="658"/>
    <n v="527"/>
    <n v="36"/>
    <n v="441"/>
    <n v="159"/>
    <n v="619"/>
    <n v="225"/>
    <n v="326"/>
  </r>
  <r>
    <x v="0"/>
    <x v="95"/>
    <x v="103"/>
    <x v="5"/>
    <s v="PUNJAB"/>
    <x v="98"/>
    <n v="488"/>
    <n v="857"/>
    <n v="153"/>
    <n v="482"/>
    <n v="675"/>
    <n v="630"/>
    <n v="466"/>
    <n v="834"/>
    <n v="580"/>
  </r>
  <r>
    <x v="19"/>
    <x v="96"/>
    <x v="104"/>
    <x v="1"/>
    <s v="PUNJAB"/>
    <x v="99"/>
    <n v="723"/>
    <n v="457"/>
    <n v="370"/>
    <n v="389"/>
    <n v="544"/>
    <n v="815"/>
    <n v="574"/>
    <n v="892"/>
    <n v="903"/>
  </r>
  <r>
    <x v="0"/>
    <x v="97"/>
    <x v="105"/>
    <x v="5"/>
    <s v="CHANDIGARH"/>
    <x v="85"/>
    <n v="118"/>
    <n v="313"/>
    <n v="70"/>
    <n v="905"/>
    <n v="447"/>
    <n v="938"/>
    <n v="96"/>
    <n v="277"/>
    <n v="611"/>
  </r>
  <r>
    <x v="29"/>
    <x v="98"/>
    <x v="106"/>
    <x v="3"/>
    <s v="CHANDIGARH"/>
    <x v="100"/>
    <n v="160"/>
    <n v="450"/>
    <n v="336"/>
    <n v="415"/>
    <n v="223"/>
    <n v="901"/>
    <n v="439"/>
    <n v="118"/>
    <n v="643"/>
  </r>
  <r>
    <x v="8"/>
    <x v="99"/>
    <x v="107"/>
    <x v="3"/>
    <s v="PUNJAB"/>
    <x v="101"/>
    <n v="85"/>
    <n v="45"/>
    <n v="580"/>
    <n v="47"/>
    <n v="247"/>
    <n v="548"/>
    <n v="229"/>
    <n v="491"/>
    <n v="3"/>
  </r>
  <r>
    <x v="4"/>
    <x v="100"/>
    <x v="108"/>
    <x v="2"/>
    <s v="PUNJAB"/>
    <x v="102"/>
    <n v="247"/>
    <n v="235"/>
    <n v="494"/>
    <n v="603"/>
    <n v="289"/>
    <n v="705"/>
    <n v="161"/>
    <n v="848"/>
    <n v="420"/>
  </r>
  <r>
    <x v="18"/>
    <x v="101"/>
    <x v="109"/>
    <x v="2"/>
    <s v="DELHI"/>
    <x v="103"/>
    <n v="650"/>
    <n v="131"/>
    <n v="616"/>
    <n v="152"/>
    <n v="120"/>
    <n v="484"/>
    <n v="266"/>
    <n v="576"/>
    <n v="499"/>
  </r>
  <r>
    <x v="6"/>
    <x v="21"/>
    <x v="110"/>
    <x v="3"/>
    <s v="M.P"/>
    <x v="104"/>
    <n v="980"/>
    <n v="973"/>
    <n v="535"/>
    <n v="707"/>
    <n v="999"/>
    <n v="322"/>
    <n v="897"/>
    <n v="410"/>
    <n v="718"/>
  </r>
  <r>
    <x v="28"/>
    <x v="70"/>
    <x v="111"/>
    <x v="5"/>
    <s v="DELHI"/>
    <x v="105"/>
    <n v="388"/>
    <n v="484"/>
    <n v="54"/>
    <n v="328"/>
    <n v="435"/>
    <n v="731"/>
    <n v="690"/>
    <n v="284"/>
    <n v="68"/>
  </r>
  <r>
    <x v="18"/>
    <x v="36"/>
    <x v="112"/>
    <x v="5"/>
    <s v="PUNJAB"/>
    <x v="106"/>
    <n v="209"/>
    <n v="147"/>
    <n v="14"/>
    <n v="71"/>
    <n v="237"/>
    <n v="59"/>
    <n v="874"/>
    <n v="194"/>
    <n v="646"/>
  </r>
  <r>
    <x v="11"/>
    <x v="102"/>
    <x v="113"/>
    <x v="2"/>
    <s v="M.P"/>
    <x v="107"/>
    <n v="49"/>
    <n v="272"/>
    <n v="713"/>
    <n v="315"/>
    <n v="225"/>
    <n v="350"/>
    <n v="877"/>
    <n v="316"/>
    <n v="875"/>
  </r>
  <r>
    <x v="5"/>
    <x v="14"/>
    <x v="114"/>
    <x v="5"/>
    <s v="U.P"/>
    <x v="108"/>
    <n v="263"/>
    <n v="527"/>
    <n v="760"/>
    <n v="648"/>
    <n v="652"/>
    <n v="291"/>
    <n v="528"/>
    <n v="752"/>
    <n v="903"/>
  </r>
  <r>
    <x v="8"/>
    <x v="93"/>
    <x v="115"/>
    <x v="4"/>
    <s v="CHANDIGARH"/>
    <x v="109"/>
    <n v="989"/>
    <n v="456"/>
    <n v="630"/>
    <n v="137"/>
    <n v="583"/>
    <n v="273"/>
    <n v="846"/>
    <n v="864"/>
    <n v="561"/>
  </r>
  <r>
    <x v="15"/>
    <x v="103"/>
    <x v="116"/>
    <x v="0"/>
    <s v="M.P"/>
    <x v="110"/>
    <n v="368"/>
    <n v="283"/>
    <n v="218"/>
    <n v="445"/>
    <n v="570"/>
    <n v="259"/>
    <n v="674"/>
    <n v="363"/>
    <n v="175"/>
  </r>
  <r>
    <x v="7"/>
    <x v="104"/>
    <x v="117"/>
    <x v="1"/>
    <s v="CHANDIGARH"/>
    <x v="111"/>
    <n v="270"/>
    <n v="927"/>
    <n v="953"/>
    <n v="588"/>
    <n v="437"/>
    <n v="264"/>
    <n v="807"/>
    <n v="195"/>
    <n v="415"/>
  </r>
  <r>
    <x v="12"/>
    <x v="105"/>
    <x v="118"/>
    <x v="1"/>
    <s v="DELHI"/>
    <x v="112"/>
    <n v="473"/>
    <n v="669"/>
    <n v="891"/>
    <n v="692"/>
    <n v="365"/>
    <n v="7"/>
    <n v="381"/>
    <n v="836"/>
    <n v="269"/>
  </r>
  <r>
    <x v="19"/>
    <x v="106"/>
    <x v="119"/>
    <x v="3"/>
    <s v="CHANDIGARH"/>
    <x v="113"/>
    <n v="942"/>
    <n v="888"/>
    <n v="2"/>
    <n v="686"/>
    <n v="926"/>
    <n v="21"/>
    <n v="10"/>
    <n v="419"/>
    <n v="203"/>
  </r>
  <r>
    <x v="4"/>
    <x v="107"/>
    <x v="120"/>
    <x v="4"/>
    <s v="BIHAR"/>
    <x v="114"/>
    <n v="42"/>
    <n v="919"/>
    <n v="195"/>
    <n v="515"/>
    <n v="165"/>
    <n v="331"/>
    <n v="748"/>
    <n v="338"/>
    <n v="713"/>
  </r>
  <r>
    <x v="17"/>
    <x v="108"/>
    <x v="121"/>
    <x v="0"/>
    <s v="CHANDIGARH"/>
    <x v="115"/>
    <n v="359"/>
    <n v="131"/>
    <n v="26"/>
    <n v="869"/>
    <n v="822"/>
    <n v="302"/>
    <n v="495"/>
    <n v="4"/>
    <n v="538"/>
  </r>
  <r>
    <x v="11"/>
    <x v="109"/>
    <x v="122"/>
    <x v="1"/>
    <s v="BIHAR"/>
    <x v="116"/>
    <n v="248"/>
    <n v="823"/>
    <n v="828"/>
    <n v="985"/>
    <n v="785"/>
    <n v="178"/>
    <n v="18"/>
    <n v="117"/>
    <n v="938"/>
  </r>
  <r>
    <x v="26"/>
    <x v="110"/>
    <x v="123"/>
    <x v="4"/>
    <s v="BIHAR"/>
    <x v="53"/>
    <n v="836"/>
    <n v="889"/>
    <n v="931"/>
    <n v="18"/>
    <n v="705"/>
    <n v="114"/>
    <n v="322"/>
    <n v="35"/>
    <n v="334"/>
  </r>
  <r>
    <x v="2"/>
    <x v="59"/>
    <x v="124"/>
    <x v="3"/>
    <s v="U.P"/>
    <x v="92"/>
    <n v="163"/>
    <n v="906"/>
    <n v="46"/>
    <n v="566"/>
    <n v="62"/>
    <n v="729"/>
    <n v="207"/>
    <n v="690"/>
    <n v="375"/>
  </r>
  <r>
    <x v="26"/>
    <x v="111"/>
    <x v="125"/>
    <x v="5"/>
    <s v="BIHAR"/>
    <x v="117"/>
    <n v="111"/>
    <n v="961"/>
    <n v="888"/>
    <n v="257"/>
    <n v="612"/>
    <n v="142"/>
    <n v="930"/>
    <n v="355"/>
    <n v="666"/>
  </r>
  <r>
    <x v="26"/>
    <x v="78"/>
    <x v="126"/>
    <x v="1"/>
    <s v="CHANDIGARH"/>
    <x v="118"/>
    <n v="460"/>
    <n v="469"/>
    <n v="801"/>
    <n v="696"/>
    <n v="629"/>
    <n v="647"/>
    <n v="284"/>
    <n v="394"/>
    <n v="601"/>
  </r>
  <r>
    <x v="10"/>
    <x v="10"/>
    <x v="127"/>
    <x v="4"/>
    <s v="DELHI"/>
    <x v="119"/>
    <n v="531"/>
    <n v="148"/>
    <n v="908"/>
    <n v="127"/>
    <n v="530"/>
    <n v="894"/>
    <n v="222"/>
    <n v="696"/>
    <n v="789"/>
  </r>
  <r>
    <x v="19"/>
    <x v="112"/>
    <x v="128"/>
    <x v="2"/>
    <s v="CHANDIGARH"/>
    <x v="120"/>
    <n v="987"/>
    <n v="587"/>
    <n v="729"/>
    <n v="108"/>
    <n v="186"/>
    <n v="481"/>
    <n v="612"/>
    <n v="131"/>
    <n v="82"/>
  </r>
  <r>
    <x v="27"/>
    <x v="113"/>
    <x v="129"/>
    <x v="1"/>
    <s v="U.P"/>
    <x v="121"/>
    <n v="201"/>
    <n v="446"/>
    <n v="120"/>
    <n v="327"/>
    <n v="126"/>
    <n v="707"/>
    <n v="635"/>
    <n v="612"/>
    <n v="992"/>
  </r>
  <r>
    <x v="5"/>
    <x v="114"/>
    <x v="130"/>
    <x v="3"/>
    <s v="CHANDIGARH"/>
    <x v="122"/>
    <n v="530"/>
    <n v="211"/>
    <n v="894"/>
    <n v="461"/>
    <n v="286"/>
    <n v="897"/>
    <n v="634"/>
    <n v="672"/>
    <n v="696"/>
  </r>
  <r>
    <x v="10"/>
    <x v="10"/>
    <x v="131"/>
    <x v="5"/>
    <s v="DELHI"/>
    <x v="123"/>
    <n v="656"/>
    <n v="250"/>
    <n v="570"/>
    <n v="361"/>
    <n v="991"/>
    <n v="937"/>
    <n v="527"/>
    <n v="41"/>
    <n v="720"/>
  </r>
  <r>
    <x v="7"/>
    <x v="7"/>
    <x v="132"/>
    <x v="3"/>
    <s v="BIHAR"/>
    <x v="124"/>
    <n v="723"/>
    <n v="194"/>
    <n v="758"/>
    <n v="993"/>
    <n v="853"/>
    <n v="559"/>
    <n v="692"/>
    <n v="352"/>
    <n v="715"/>
  </r>
  <r>
    <x v="13"/>
    <x v="55"/>
    <x v="133"/>
    <x v="5"/>
    <s v="M.P"/>
    <x v="38"/>
    <n v="683"/>
    <n v="783"/>
    <n v="83"/>
    <n v="181"/>
    <n v="252"/>
    <n v="429"/>
    <n v="445"/>
    <n v="369"/>
    <n v="673"/>
  </r>
  <r>
    <x v="20"/>
    <x v="115"/>
    <x v="134"/>
    <x v="4"/>
    <s v="M.P"/>
    <x v="125"/>
    <n v="564"/>
    <n v="956"/>
    <n v="405"/>
    <n v="72"/>
    <n v="910"/>
    <n v="876"/>
    <n v="306"/>
    <n v="719"/>
    <n v="22"/>
  </r>
  <r>
    <x v="8"/>
    <x v="99"/>
    <x v="135"/>
    <x v="4"/>
    <s v="PUNJAB"/>
    <x v="126"/>
    <n v="107"/>
    <n v="692"/>
    <n v="78"/>
    <n v="495"/>
    <n v="97"/>
    <n v="245"/>
    <n v="526"/>
    <n v="214"/>
    <n v="464"/>
  </r>
  <r>
    <x v="15"/>
    <x v="116"/>
    <x v="136"/>
    <x v="2"/>
    <s v="BIHAR"/>
    <x v="127"/>
    <n v="490"/>
    <n v="402"/>
    <n v="612"/>
    <n v="994"/>
    <n v="962"/>
    <n v="428"/>
    <n v="952"/>
    <n v="594"/>
    <n v="873"/>
  </r>
  <r>
    <x v="11"/>
    <x v="109"/>
    <x v="137"/>
    <x v="5"/>
    <s v="BIHAR"/>
    <x v="128"/>
    <n v="635"/>
    <n v="116"/>
    <n v="182"/>
    <n v="514"/>
    <n v="150"/>
    <n v="335"/>
    <n v="647"/>
    <n v="10"/>
    <n v="876"/>
  </r>
  <r>
    <x v="0"/>
    <x v="97"/>
    <x v="138"/>
    <x v="4"/>
    <s v="PUNJAB"/>
    <x v="129"/>
    <n v="788"/>
    <n v="761"/>
    <n v="783"/>
    <n v="309"/>
    <n v="415"/>
    <n v="867"/>
    <n v="848"/>
    <n v="335"/>
    <n v="283"/>
  </r>
  <r>
    <x v="7"/>
    <x v="117"/>
    <x v="139"/>
    <x v="5"/>
    <s v="DELHI"/>
    <x v="130"/>
    <n v="135"/>
    <n v="171"/>
    <n v="732"/>
    <n v="101"/>
    <n v="198"/>
    <n v="491"/>
    <n v="311"/>
    <n v="431"/>
    <n v="113"/>
  </r>
  <r>
    <x v="26"/>
    <x v="111"/>
    <x v="140"/>
    <x v="0"/>
    <s v="U.P"/>
    <x v="131"/>
    <n v="939"/>
    <n v="326"/>
    <n v="898"/>
    <n v="439"/>
    <n v="410"/>
    <n v="158"/>
    <n v="325"/>
    <n v="326"/>
    <n v="159"/>
  </r>
  <r>
    <x v="29"/>
    <x v="98"/>
    <x v="141"/>
    <x v="1"/>
    <s v="BIHAR"/>
    <x v="132"/>
    <n v="676"/>
    <n v="274"/>
    <n v="881"/>
    <n v="273"/>
    <n v="796"/>
    <n v="929"/>
    <n v="661"/>
    <n v="351"/>
    <n v="986"/>
  </r>
  <r>
    <x v="3"/>
    <x v="3"/>
    <x v="142"/>
    <x v="4"/>
    <s v="U.P"/>
    <x v="133"/>
    <n v="918"/>
    <n v="418"/>
    <n v="348"/>
    <n v="602"/>
    <n v="419"/>
    <n v="458"/>
    <n v="625"/>
    <n v="400"/>
    <n v="124"/>
  </r>
  <r>
    <x v="6"/>
    <x v="84"/>
    <x v="143"/>
    <x v="0"/>
    <s v="PUNJAB"/>
    <x v="134"/>
    <n v="440"/>
    <n v="725"/>
    <n v="76"/>
    <n v="684"/>
    <n v="286"/>
    <n v="530"/>
    <n v="226"/>
    <n v="301"/>
    <n v="934"/>
  </r>
  <r>
    <x v="26"/>
    <x v="53"/>
    <x v="144"/>
    <x v="2"/>
    <s v="CHANDIGARH"/>
    <x v="92"/>
    <n v="615"/>
    <n v="470"/>
    <n v="341"/>
    <n v="590"/>
    <n v="644"/>
    <n v="587"/>
    <n v="836"/>
    <n v="910"/>
    <n v="217"/>
  </r>
  <r>
    <x v="24"/>
    <x v="118"/>
    <x v="145"/>
    <x v="2"/>
    <s v="M.P"/>
    <x v="135"/>
    <n v="787"/>
    <n v="590"/>
    <n v="612"/>
    <n v="174"/>
    <n v="613"/>
    <n v="304"/>
    <n v="125"/>
    <n v="854"/>
    <n v="231"/>
  </r>
  <r>
    <x v="10"/>
    <x v="10"/>
    <x v="146"/>
    <x v="4"/>
    <s v="CHANDIGARH"/>
    <x v="136"/>
    <n v="870"/>
    <n v="835"/>
    <n v="526"/>
    <n v="431"/>
    <n v="14"/>
    <n v="836"/>
    <n v="857"/>
    <n v="885"/>
    <n v="940"/>
  </r>
  <r>
    <x v="17"/>
    <x v="119"/>
    <x v="147"/>
    <x v="5"/>
    <s v="U.P"/>
    <x v="137"/>
    <n v="972"/>
    <n v="817"/>
    <n v="187"/>
    <n v="830"/>
    <n v="174"/>
    <n v="130"/>
    <n v="130"/>
    <n v="299"/>
    <n v="558"/>
  </r>
  <r>
    <x v="9"/>
    <x v="120"/>
    <x v="148"/>
    <x v="3"/>
    <s v="CHANDIGARH"/>
    <x v="138"/>
    <n v="55"/>
    <n v="936"/>
    <n v="162"/>
    <n v="869"/>
    <n v="751"/>
    <n v="581"/>
    <n v="282"/>
    <n v="492"/>
    <n v="895"/>
  </r>
  <r>
    <x v="6"/>
    <x v="6"/>
    <x v="149"/>
    <x v="1"/>
    <s v="PUNJAB"/>
    <x v="139"/>
    <n v="58"/>
    <n v="534"/>
    <n v="655"/>
    <n v="413"/>
    <n v="204"/>
    <n v="839"/>
    <n v="716"/>
    <n v="813"/>
    <n v="77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293E9C5-41A5-433F-9C75-EE5A49BC9B89}" name="PivotTable1" cacheId="1" applyNumberFormats="0" applyBorderFormats="0" applyFontFormats="0" applyPatternFormats="0" applyAlignmentFormats="0" applyWidthHeightFormats="1" dataCaption="Values" updatedVersion="6" minRefreshableVersion="5" useAutoFormatting="1" rowGrandTotals="0" colGrandTotals="0" itemPrintTitles="1" createdVersion="6" indent="0" outline="1" outlineData="1" multipleFieldFilters="0">
  <location ref="A4:C34" firstHeaderRow="0" firstDataRow="1" firstDataCol="1" rowPageCount="1" colPageCount="1"/>
  <pivotFields count="15">
    <pivotField axis="axisRow" subtotalTop="0" showAll="0" defaultSubtotal="0">
      <items count="30">
        <item sd="0" x="26"/>
        <item sd="0" x="16"/>
        <item sd="0" x="14"/>
        <item sd="0" x="24"/>
        <item sd="0" x="25"/>
        <item sd="0" x="4"/>
        <item sd="0" x="1"/>
        <item sd="0" x="15"/>
        <item sd="0" x="8"/>
        <item sd="0" x="2"/>
        <item sd="0" x="6"/>
        <item sd="0" x="19"/>
        <item sd="0" x="5"/>
        <item sd="0" x="0"/>
        <item sd="0" x="29"/>
        <item sd="0" x="10"/>
        <item sd="0" x="9"/>
        <item sd="0" x="7"/>
        <item sd="0" x="22"/>
        <item sd="0" x="23"/>
        <item sd="0" x="28"/>
        <item sd="0" x="12"/>
        <item sd="0" x="13"/>
        <item sd="0" x="17"/>
        <item sd="0" x="11"/>
        <item sd="0" x="27"/>
        <item sd="0" x="20"/>
        <item sd="0" x="18"/>
        <item sd="0" x="21"/>
        <item sd="0" x="3"/>
      </items>
    </pivotField>
    <pivotField numFmtId="14" subtotalTop="0" showAll="0" defaultSubtotal="0">
      <items count="121">
        <item x="46"/>
        <item x="107"/>
        <item x="8"/>
        <item x="6"/>
        <item x="42"/>
        <item x="114"/>
        <item x="10"/>
        <item x="68"/>
        <item x="74"/>
        <item x="64"/>
        <item x="119"/>
        <item x="39"/>
        <item x="110"/>
        <item x="91"/>
        <item x="4"/>
        <item x="98"/>
        <item x="102"/>
        <item x="62"/>
        <item x="85"/>
        <item x="45"/>
        <item x="92"/>
        <item x="57"/>
        <item x="14"/>
        <item x="0"/>
        <item x="81"/>
        <item x="11"/>
        <item x="22"/>
        <item x="116"/>
        <item x="96"/>
        <item x="49"/>
        <item x="95"/>
        <item x="72"/>
        <item x="117"/>
        <item x="56"/>
        <item x="108"/>
        <item x="24"/>
        <item x="35"/>
        <item x="51"/>
        <item x="1"/>
        <item x="93"/>
        <item x="59"/>
        <item x="65"/>
        <item x="27"/>
        <item x="87"/>
        <item x="44"/>
        <item x="101"/>
        <item x="52"/>
        <item x="94"/>
        <item x="118"/>
        <item x="61"/>
        <item x="50"/>
        <item x="54"/>
        <item x="9"/>
        <item x="77"/>
        <item x="37"/>
        <item x="63"/>
        <item x="60"/>
        <item x="40"/>
        <item x="100"/>
        <item x="89"/>
        <item x="73"/>
        <item x="71"/>
        <item x="25"/>
        <item x="15"/>
        <item x="104"/>
        <item x="16"/>
        <item x="23"/>
        <item x="109"/>
        <item x="28"/>
        <item x="36"/>
        <item x="80"/>
        <item x="48"/>
        <item x="43"/>
        <item x="84"/>
        <item x="106"/>
        <item x="88"/>
        <item x="26"/>
        <item x="19"/>
        <item x="7"/>
        <item x="105"/>
        <item x="47"/>
        <item x="3"/>
        <item x="67"/>
        <item x="86"/>
        <item x="33"/>
        <item x="38"/>
        <item x="69"/>
        <item x="82"/>
        <item x="76"/>
        <item x="12"/>
        <item x="20"/>
        <item x="113"/>
        <item x="115"/>
        <item x="30"/>
        <item x="53"/>
        <item x="103"/>
        <item x="79"/>
        <item x="97"/>
        <item x="90"/>
        <item x="70"/>
        <item x="29"/>
        <item x="55"/>
        <item x="78"/>
        <item x="58"/>
        <item x="21"/>
        <item x="112"/>
        <item x="5"/>
        <item x="34"/>
        <item x="120"/>
        <item x="31"/>
        <item x="111"/>
        <item x="41"/>
        <item x="17"/>
        <item x="66"/>
        <item x="18"/>
        <item x="99"/>
        <item x="2"/>
        <item x="75"/>
        <item x="13"/>
        <item x="83"/>
        <item x="32"/>
      </items>
    </pivotField>
    <pivotField axis="axisPage" subtotalTop="0" showAll="0" defaultSubtotal="0">
      <items count="150">
        <item x="0"/>
        <item x="9"/>
        <item x="99"/>
        <item x="100"/>
        <item x="101"/>
        <item x="102"/>
        <item x="103"/>
        <item x="104"/>
        <item x="105"/>
        <item x="106"/>
        <item x="107"/>
        <item x="108"/>
        <item x="10"/>
        <item x="109"/>
        <item x="110"/>
        <item x="111"/>
        <item x="112"/>
        <item x="113"/>
        <item x="114"/>
        <item x="115"/>
        <item x="116"/>
        <item x="117"/>
        <item x="118"/>
        <item x="11"/>
        <item x="119"/>
        <item x="120"/>
        <item x="121"/>
        <item x="122"/>
        <item x="123"/>
        <item x="124"/>
        <item x="125"/>
        <item x="126"/>
        <item x="127"/>
        <item x="128"/>
        <item x="12"/>
        <item x="129"/>
        <item x="130"/>
        <item x="131"/>
        <item x="132"/>
        <item x="133"/>
        <item x="134"/>
        <item x="135"/>
        <item x="136"/>
        <item x="137"/>
        <item x="138"/>
        <item x="13"/>
        <item x="139"/>
        <item x="140"/>
        <item x="141"/>
        <item x="142"/>
        <item x="143"/>
        <item x="144"/>
        <item x="145"/>
        <item x="146"/>
        <item x="147"/>
        <item x="148"/>
        <item x="14"/>
        <item x="149"/>
        <item x="15"/>
        <item x="16"/>
        <item x="17"/>
        <item x="18"/>
        <item x="1"/>
        <item x="19"/>
        <item x="20"/>
        <item x="21"/>
        <item x="22"/>
        <item x="23"/>
        <item x="24"/>
        <item x="25"/>
        <item x="26"/>
        <item x="27"/>
        <item x="28"/>
        <item x="2"/>
        <item x="29"/>
        <item x="30"/>
        <item x="31"/>
        <item x="32"/>
        <item x="33"/>
        <item x="34"/>
        <item x="35"/>
        <item x="36"/>
        <item x="37"/>
        <item x="38"/>
        <item x="3"/>
        <item x="39"/>
        <item x="40"/>
        <item x="41"/>
        <item x="42"/>
        <item x="43"/>
        <item x="44"/>
        <item x="45"/>
        <item x="46"/>
        <item x="47"/>
        <item x="48"/>
        <item x="4"/>
        <item x="49"/>
        <item x="50"/>
        <item x="51"/>
        <item x="52"/>
        <item x="53"/>
        <item x="54"/>
        <item x="55"/>
        <item x="56"/>
        <item x="57"/>
        <item x="58"/>
        <item x="5"/>
        <item x="59"/>
        <item x="60"/>
        <item x="61"/>
        <item x="62"/>
        <item x="63"/>
        <item x="64"/>
        <item x="65"/>
        <item x="66"/>
        <item x="67"/>
        <item x="68"/>
        <item x="6"/>
        <item x="69"/>
        <item x="70"/>
        <item x="71"/>
        <item x="72"/>
        <item x="73"/>
        <item x="74"/>
        <item x="75"/>
        <item x="76"/>
        <item x="77"/>
        <item x="78"/>
        <item x="7"/>
        <item x="79"/>
        <item x="80"/>
        <item x="81"/>
        <item x="82"/>
        <item x="83"/>
        <item x="84"/>
        <item x="85"/>
        <item x="86"/>
        <item x="87"/>
        <item x="88"/>
        <item x="8"/>
        <item x="89"/>
        <item x="90"/>
        <item x="91"/>
        <item x="92"/>
        <item x="93"/>
        <item x="94"/>
        <item x="95"/>
        <item x="96"/>
        <item x="97"/>
        <item x="98"/>
      </items>
    </pivotField>
    <pivotField axis="axisRow" subtotalTop="0" showAll="0" defaultSubtotal="0">
      <items count="6">
        <item x="5"/>
        <item x="1"/>
        <item x="2"/>
        <item x="0"/>
        <item x="4"/>
        <item x="3"/>
      </items>
    </pivotField>
    <pivotField subtotalTop="0" showAll="0" defaultSubtotal="0"/>
    <pivotField dataField="1" subtotalTop="0" showAll="0" defaultSubtotal="0">
      <items count="140">
        <item x="130"/>
        <item x="17"/>
        <item x="18"/>
        <item x="67"/>
        <item x="2"/>
        <item x="84"/>
        <item x="29"/>
        <item x="62"/>
        <item x="137"/>
        <item x="56"/>
        <item x="58"/>
        <item x="13"/>
        <item x="42"/>
        <item x="72"/>
        <item x="112"/>
        <item x="0"/>
        <item x="65"/>
        <item x="37"/>
        <item x="40"/>
        <item x="88"/>
        <item x="76"/>
        <item x="46"/>
        <item x="64"/>
        <item x="57"/>
        <item x="66"/>
        <item x="1"/>
        <item x="117"/>
        <item x="33"/>
        <item x="15"/>
        <item x="60"/>
        <item x="51"/>
        <item x="99"/>
        <item x="105"/>
        <item x="80"/>
        <item x="21"/>
        <item x="107"/>
        <item x="134"/>
        <item x="131"/>
        <item x="100"/>
        <item x="86"/>
        <item x="92"/>
        <item x="123"/>
        <item x="5"/>
        <item x="59"/>
        <item x="34"/>
        <item x="45"/>
        <item x="138"/>
        <item x="3"/>
        <item x="96"/>
        <item x="132"/>
        <item x="32"/>
        <item x="30"/>
        <item x="118"/>
        <item x="139"/>
        <item x="12"/>
        <item x="87"/>
        <item x="102"/>
        <item x="61"/>
        <item x="91"/>
        <item x="23"/>
        <item x="97"/>
        <item x="81"/>
        <item x="39"/>
        <item x="11"/>
        <item x="103"/>
        <item x="7"/>
        <item x="63"/>
        <item x="47"/>
        <item x="135"/>
        <item x="121"/>
        <item x="41"/>
        <item x="98"/>
        <item x="120"/>
        <item x="49"/>
        <item x="35"/>
        <item x="110"/>
        <item x="38"/>
        <item x="85"/>
        <item x="129"/>
        <item x="122"/>
        <item x="43"/>
        <item x="19"/>
        <item x="111"/>
        <item x="79"/>
        <item x="75"/>
        <item x="36"/>
        <item x="104"/>
        <item x="50"/>
        <item x="74"/>
        <item x="27"/>
        <item x="31"/>
        <item x="116"/>
        <item x="6"/>
        <item x="109"/>
        <item x="93"/>
        <item x="101"/>
        <item x="10"/>
        <item x="106"/>
        <item x="44"/>
        <item x="28"/>
        <item x="55"/>
        <item x="133"/>
        <item x="26"/>
        <item x="52"/>
        <item x="16"/>
        <item x="53"/>
        <item x="94"/>
        <item x="69"/>
        <item x="125"/>
        <item x="71"/>
        <item x="126"/>
        <item x="113"/>
        <item x="89"/>
        <item x="115"/>
        <item x="48"/>
        <item x="136"/>
        <item x="128"/>
        <item x="25"/>
        <item x="24"/>
        <item x="127"/>
        <item x="22"/>
        <item x="73"/>
        <item x="9"/>
        <item x="70"/>
        <item x="4"/>
        <item x="14"/>
        <item x="68"/>
        <item x="83"/>
        <item x="95"/>
        <item x="124"/>
        <item x="108"/>
        <item x="20"/>
        <item x="82"/>
        <item x="119"/>
        <item x="114"/>
        <item x="78"/>
        <item x="77"/>
        <item x="90"/>
        <item x="54"/>
        <item x="8"/>
      </items>
    </pivotField>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s>
  <rowFields count="2">
    <field x="0"/>
    <field x="3"/>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rowItems>
  <colFields count="1">
    <field x="-2"/>
  </colFields>
  <colItems count="2">
    <i>
      <x/>
    </i>
    <i i="1">
      <x v="1"/>
    </i>
  </colItems>
  <pageFields count="1">
    <pageField fld="2" hier="-1"/>
  </pageFields>
  <dataFields count="2">
    <dataField name="Sum of STORE1" fld="5" baseField="0" baseItem="0"/>
    <dataField name="Average of STORE1_2" fld="5"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D62890-1028-4490-929F-3ECAC054E5CF}"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E24" firstHeaderRow="0" firstDataRow="1" firstDataCol="1"/>
  <pivotFields count="15">
    <pivotField showAll="0"/>
    <pivotField axis="axisRow" showAll="0">
      <items count="5">
        <item x="0"/>
        <item x="1"/>
        <item x="2"/>
        <item x="3"/>
        <item t="default"/>
      </items>
    </pivotField>
    <pivotField axis="axisRow" showAll="0">
      <items count="5">
        <item x="1"/>
        <item x="3"/>
        <item x="0"/>
        <item x="2"/>
        <item t="default"/>
      </items>
    </pivotField>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s>
  <rowFields count="2">
    <field x="1"/>
    <field x="2"/>
  </rowFields>
  <rowItems count="21">
    <i>
      <x/>
    </i>
    <i r="1">
      <x/>
    </i>
    <i r="1">
      <x v="1"/>
    </i>
    <i r="1">
      <x v="2"/>
    </i>
    <i r="1">
      <x v="3"/>
    </i>
    <i>
      <x v="1"/>
    </i>
    <i r="1">
      <x/>
    </i>
    <i r="1">
      <x v="1"/>
    </i>
    <i r="1">
      <x v="2"/>
    </i>
    <i r="1">
      <x v="3"/>
    </i>
    <i>
      <x v="2"/>
    </i>
    <i r="1">
      <x/>
    </i>
    <i r="1">
      <x v="1"/>
    </i>
    <i r="1">
      <x v="2"/>
    </i>
    <i r="1">
      <x v="3"/>
    </i>
    <i>
      <x v="3"/>
    </i>
    <i r="1">
      <x/>
    </i>
    <i r="1">
      <x v="1"/>
    </i>
    <i r="1">
      <x v="2"/>
    </i>
    <i r="1">
      <x v="3"/>
    </i>
    <i t="grand">
      <x/>
    </i>
  </rowItems>
  <colFields count="1">
    <field x="-2"/>
  </colFields>
  <colItems count="4">
    <i>
      <x/>
    </i>
    <i i="1">
      <x v="1"/>
    </i>
    <i i="2">
      <x v="2"/>
    </i>
    <i i="3">
      <x v="3"/>
    </i>
  </colItems>
  <dataFields count="4">
    <dataField name="Sum of JAN" fld="3" baseField="0" baseItem="0"/>
    <dataField name="Sum of FEB" fld="4" baseField="0" baseItem="0"/>
    <dataField name="Sum of MAR" fld="5" baseField="0" baseItem="0"/>
    <dataField name="Sum of APR"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AD46448C-5D6B-463C-936A-D335F6363999}" sourceName="STATE">
  <pivotTables>
    <pivotTable tabId="40" name="PivotTable1"/>
  </pivotTables>
  <data>
    <tabular pivotCacheId="1930802996">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84D9D5BA-62DB-4C72-ABC6-AEB61B3E0FBE}" sourceName="PRODUCT">
  <pivotTables>
    <pivotTable tabId="40" name="PivotTable1"/>
  </pivotTables>
  <data>
    <tabular pivotCacheId="1930802996">
      <items count="4">
        <i x="1" s="1"/>
        <i x="3"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9770BDEB-D526-46D0-874C-E3BD62DEDCA0}" cache="Slicer_STATE" caption="STATE" columnCount="4" rowHeight="241300"/>
  <slicer name="PRODUCT" xr10:uid="{5A455150-0CDE-4B1E-9B12-8408035AC8FF}" cache="Slicer_PRODUCT" caption="PRODUCT" columnCoun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3648072-49E8-4496-8C37-039225685CEE}" name="Table3" displayName="Table3" ref="B1:D151" totalsRowShown="0" headerRowDxfId="30" dataDxfId="28" headerRowBorderDxfId="29" tableBorderDxfId="27" totalsRowBorderDxfId="26">
  <autoFilter ref="B1:D151" xr:uid="{75BC9D42-9758-4BE0-92D3-9C477B21FC98}"/>
  <tableColumns count="3">
    <tableColumn id="1" xr3:uid="{ECA75CAF-E121-479E-9CCC-4C357231EFC4}" name="NAME" dataDxfId="25"/>
    <tableColumn id="2" xr3:uid="{58D3ECD1-3963-40BB-AF86-EFE46B2CC811}" name="PRODUCT" dataDxfId="24"/>
    <tableColumn id="3" xr3:uid="{7E5C0C1B-FDF3-43B5-B820-20144AED9B8D}" name="STORE6" dataDxfId="2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672BF49-C3F3-47D6-A5C8-1D590A68FD9A}" name="Table1" displayName="Table1" ref="B1:O151" totalsRowShown="0">
  <tableColumns count="14">
    <tableColumn id="1" xr3:uid="{AD6A9A99-BE6C-445E-A0A6-4105CE0452F9}" name="DATE" dataDxfId="22"/>
    <tableColumn id="2" xr3:uid="{2506957F-DFB2-458F-9849-0E6600CEC291}" name="NAME"/>
    <tableColumn id="3" xr3:uid="{93F4D300-3381-4ACA-89A7-39AE8C23726F}" name="PRODUCT"/>
    <tableColumn id="4" xr3:uid="{E50D6576-0FB4-445C-9ADB-62D41FF1037A}" name="STATE"/>
    <tableColumn id="5" xr3:uid="{A1584AE3-F829-49C1-A434-B5A190B99F83}" name="STORE1"/>
    <tableColumn id="6" xr3:uid="{E09294CF-50BA-469F-9F0E-BDFDF02EEE3B}" name="STORE2"/>
    <tableColumn id="7" xr3:uid="{2BD83044-E29F-4279-ABFE-152DBF082AA2}" name="STORE3"/>
    <tableColumn id="8" xr3:uid="{CA9223BD-D80A-444A-B729-0EEDFE20A9AB}" name="STORE4"/>
    <tableColumn id="9" xr3:uid="{8CCBF8D6-8A39-49C6-9424-FC5E1A753DFC}" name="STORE5"/>
    <tableColumn id="10" xr3:uid="{9A17824E-BF52-4522-991D-BF4C918067FB}" name="STORE6"/>
    <tableColumn id="11" xr3:uid="{F8E71922-E828-4F3E-814C-5357DCD0A6C1}" name="STORE7"/>
    <tableColumn id="12" xr3:uid="{D6CE559D-C864-4A43-9822-C67DDF0737E3}" name="STORE8"/>
    <tableColumn id="13" xr3:uid="{C83F9693-4FAE-4B43-B3A8-C58FDBD2B553}" name="STORE9"/>
    <tableColumn id="14" xr3:uid="{EA4AA939-191D-4675-B305-92F4B286BC3D}" name="STORE10"/>
  </tableColumns>
  <tableStyleInfo showFirstColumn="0" showLastColumn="0" showRowStripes="1" showColumnStripes="0"/>
</table>
</file>

<file path=xl/theme/theme1.xml><?xml version="1.0" encoding="utf-8"?>
<a:theme xmlns:a="http://schemas.openxmlformats.org/drawingml/2006/main" name="Office Theme">
  <a:themeElements>
    <a:clrScheme name="Blue Green">
      <a:dk1>
        <a:sysClr val="windowText" lastClr="000000"/>
      </a:dk1>
      <a:lt1>
        <a:sysClr val="window" lastClr="FFFFFF"/>
      </a:lt1>
      <a:dk2>
        <a:srgbClr val="373545"/>
      </a:dk2>
      <a:lt2>
        <a:srgbClr val="CEDBE6"/>
      </a:lt2>
      <a:accent1>
        <a:srgbClr val="3494BA"/>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9725B7CC-151D-49B5-BBF4-9C3A26A6B5E9}" sourceName="DATE">
  <pivotTables>
    <pivotTable tabId="49" name="PivotTable1"/>
  </pivotTables>
  <state minimalRefreshVersion="6" lastRefreshVersion="6" pivotCacheId="1040379988"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B67466F2-FCAA-480F-A32D-A4268AA7CA98}" cache="NativeTimeline_DATE" caption="DATE" level="2" selectionLevel="2" scrollPosition="2024-06-07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3">
    <wetp:webextensionref xmlns:r="http://schemas.openxmlformats.org/officeDocument/2006/relationships" r:id="rId1"/>
  </wetp:taskpane>
  <wetp:taskpane dockstate="right" visibility="0" width="350" row="1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D1129D9E-F41F-49A6-872E-82C89C524A14}">
  <we:reference id="wa104381701" version="1.0.0.4" store="en-US" storeType="OMEX"/>
  <we:alternateReferences>
    <we:reference id="wa104381701" version="1.0.0.4" store="WA104381701"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210296E4-648E-49C4-968F-CA2CEF3B4C75}">
  <we:reference id="wa200001584" version="3.0.1.5" store="en-US" storeType="OMEX"/>
  <we:alternateReferences>
    <we:reference id="wa200001584" version="3.0.1.5" store="en-US"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microsoft.com/office/2011/relationships/timeline" Target="../timelines/timeline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2.xml.rels><?xml version="1.0" encoding="UTF-8" standalone="yes"?>
<Relationships xmlns="http://schemas.openxmlformats.org/package/2006/relationships"><Relationship Id="rId1" Type="http://schemas.openxmlformats.org/officeDocument/2006/relationships/hyperlink" Target="mailto:HANSALMEHTAM23@GMAIL.COM"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C5313-854D-4FBA-B392-CA11500AAB32}">
  <dimension ref="A2:B151"/>
  <sheetViews>
    <sheetView workbookViewId="0">
      <selection activeCell="M28" sqref="M28"/>
    </sheetView>
  </sheetViews>
  <sheetFormatPr defaultRowHeight="15" x14ac:dyDescent="0.25"/>
  <cols>
    <col min="1" max="1" width="8.85546875" bestFit="1" customWidth="1"/>
    <col min="2" max="2" width="11.85546875" bestFit="1" customWidth="1"/>
    <col min="3" max="3" width="9.85546875" bestFit="1" customWidth="1"/>
  </cols>
  <sheetData>
    <row r="2" spans="1:2" x14ac:dyDescent="0.25">
      <c r="A2" s="11"/>
      <c r="B2" s="11"/>
    </row>
    <row r="3" spans="1:2" x14ac:dyDescent="0.25">
      <c r="A3" s="11"/>
      <c r="B3" s="11"/>
    </row>
    <row r="4" spans="1:2" x14ac:dyDescent="0.25">
      <c r="A4" s="11"/>
      <c r="B4" s="11"/>
    </row>
    <row r="5" spans="1:2" x14ac:dyDescent="0.25">
      <c r="A5" s="11"/>
      <c r="B5" s="11"/>
    </row>
    <row r="6" spans="1:2" x14ac:dyDescent="0.25">
      <c r="A6" s="11"/>
      <c r="B6" s="11"/>
    </row>
    <row r="7" spans="1:2" x14ac:dyDescent="0.25">
      <c r="A7" s="11"/>
      <c r="B7" s="11"/>
    </row>
    <row r="8" spans="1:2" x14ac:dyDescent="0.25">
      <c r="A8" s="11"/>
      <c r="B8" s="11"/>
    </row>
    <row r="9" spans="1:2" x14ac:dyDescent="0.25">
      <c r="A9" s="11"/>
      <c r="B9" s="11"/>
    </row>
    <row r="10" spans="1:2" x14ac:dyDescent="0.25">
      <c r="A10" s="11"/>
      <c r="B10" s="11"/>
    </row>
    <row r="11" spans="1:2" x14ac:dyDescent="0.25">
      <c r="A11" s="11"/>
      <c r="B11" s="11"/>
    </row>
    <row r="12" spans="1:2" x14ac:dyDescent="0.25">
      <c r="A12" s="11"/>
      <c r="B12" s="11"/>
    </row>
    <row r="13" spans="1:2" x14ac:dyDescent="0.25">
      <c r="A13" s="11"/>
      <c r="B13" s="11"/>
    </row>
    <row r="14" spans="1:2" x14ac:dyDescent="0.25">
      <c r="A14" s="11"/>
      <c r="B14" s="11"/>
    </row>
    <row r="15" spans="1:2" x14ac:dyDescent="0.25">
      <c r="A15" s="11"/>
      <c r="B15" s="11"/>
    </row>
    <row r="16" spans="1:2" x14ac:dyDescent="0.25">
      <c r="A16" s="11"/>
      <c r="B16" s="11"/>
    </row>
    <row r="17" spans="1:2" x14ac:dyDescent="0.25">
      <c r="A17" s="11"/>
      <c r="B17" s="11"/>
    </row>
    <row r="18" spans="1:2" x14ac:dyDescent="0.25">
      <c r="A18" s="11"/>
      <c r="B18" s="11"/>
    </row>
    <row r="19" spans="1:2" x14ac:dyDescent="0.25">
      <c r="A19" s="11"/>
      <c r="B19" s="11"/>
    </row>
    <row r="20" spans="1:2" x14ac:dyDescent="0.25">
      <c r="A20" s="11"/>
      <c r="B20" s="11"/>
    </row>
    <row r="21" spans="1:2" x14ac:dyDescent="0.25">
      <c r="A21" s="11"/>
      <c r="B21" s="11"/>
    </row>
    <row r="22" spans="1:2" x14ac:dyDescent="0.25">
      <c r="A22" s="11"/>
      <c r="B22" s="11"/>
    </row>
    <row r="23" spans="1:2" x14ac:dyDescent="0.25">
      <c r="A23" s="11"/>
      <c r="B23" s="11"/>
    </row>
    <row r="24" spans="1:2" x14ac:dyDescent="0.25">
      <c r="A24" s="11"/>
      <c r="B24" s="11"/>
    </row>
    <row r="25" spans="1:2" x14ac:dyDescent="0.25">
      <c r="A25" s="11"/>
      <c r="B25" s="11"/>
    </row>
    <row r="26" spans="1:2" x14ac:dyDescent="0.25">
      <c r="A26" s="11"/>
      <c r="B26" s="11"/>
    </row>
    <row r="27" spans="1:2" x14ac:dyDescent="0.25">
      <c r="A27" s="11"/>
      <c r="B27" s="11"/>
    </row>
    <row r="28" spans="1:2" x14ac:dyDescent="0.25">
      <c r="A28" s="11"/>
      <c r="B28" s="11"/>
    </row>
    <row r="29" spans="1:2" x14ac:dyDescent="0.25">
      <c r="A29" s="11"/>
      <c r="B29" s="11"/>
    </row>
    <row r="30" spans="1:2" x14ac:dyDescent="0.25">
      <c r="A30" s="11"/>
      <c r="B30" s="11"/>
    </row>
    <row r="31" spans="1:2" x14ac:dyDescent="0.25">
      <c r="A31" s="11"/>
      <c r="B31" s="11"/>
    </row>
    <row r="32" spans="1:2" x14ac:dyDescent="0.25">
      <c r="A32" s="11"/>
      <c r="B32" s="11"/>
    </row>
    <row r="33" spans="1:2" x14ac:dyDescent="0.25">
      <c r="A33" s="11"/>
      <c r="B33" s="11"/>
    </row>
    <row r="34" spans="1:2" x14ac:dyDescent="0.25">
      <c r="A34" s="11"/>
      <c r="B34" s="11"/>
    </row>
    <row r="35" spans="1:2" x14ac:dyDescent="0.25">
      <c r="A35" s="11"/>
      <c r="B35" s="11"/>
    </row>
    <row r="36" spans="1:2" x14ac:dyDescent="0.25">
      <c r="A36" s="11"/>
      <c r="B36" s="11"/>
    </row>
    <row r="37" spans="1:2" x14ac:dyDescent="0.25">
      <c r="A37" s="11"/>
      <c r="B37" s="11"/>
    </row>
    <row r="38" spans="1:2" x14ac:dyDescent="0.25">
      <c r="A38" s="11"/>
      <c r="B38" s="11"/>
    </row>
    <row r="39" spans="1:2" x14ac:dyDescent="0.25">
      <c r="A39" s="11"/>
      <c r="B39" s="11"/>
    </row>
    <row r="40" spans="1:2" x14ac:dyDescent="0.25">
      <c r="A40" s="11"/>
      <c r="B40" s="11"/>
    </row>
    <row r="41" spans="1:2" x14ac:dyDescent="0.25">
      <c r="A41" s="11"/>
      <c r="B41" s="11"/>
    </row>
    <row r="42" spans="1:2" x14ac:dyDescent="0.25">
      <c r="A42" s="11"/>
      <c r="B42" s="11"/>
    </row>
    <row r="43" spans="1:2" x14ac:dyDescent="0.25">
      <c r="A43" s="11"/>
      <c r="B43" s="11"/>
    </row>
    <row r="44" spans="1:2" x14ac:dyDescent="0.25">
      <c r="A44" s="11"/>
      <c r="B44" s="11"/>
    </row>
    <row r="45" spans="1:2" x14ac:dyDescent="0.25">
      <c r="A45" s="11"/>
      <c r="B45" s="11"/>
    </row>
    <row r="46" spans="1:2" x14ac:dyDescent="0.25">
      <c r="A46" s="11"/>
      <c r="B46" s="11"/>
    </row>
    <row r="47" spans="1:2" x14ac:dyDescent="0.25">
      <c r="A47" s="11"/>
      <c r="B47" s="11"/>
    </row>
    <row r="48" spans="1:2" x14ac:dyDescent="0.25">
      <c r="A48" s="11"/>
      <c r="B48" s="11"/>
    </row>
    <row r="49" spans="1:2" x14ac:dyDescent="0.25">
      <c r="A49" s="11"/>
      <c r="B49" s="11"/>
    </row>
    <row r="50" spans="1:2" x14ac:dyDescent="0.25">
      <c r="A50" s="11"/>
      <c r="B50" s="11"/>
    </row>
    <row r="51" spans="1:2" x14ac:dyDescent="0.25">
      <c r="A51" s="11"/>
      <c r="B51" s="11"/>
    </row>
    <row r="52" spans="1:2" x14ac:dyDescent="0.25">
      <c r="A52" s="11"/>
      <c r="B52" s="11"/>
    </row>
    <row r="53" spans="1:2" x14ac:dyDescent="0.25">
      <c r="A53" s="11"/>
      <c r="B53" s="11"/>
    </row>
    <row r="54" spans="1:2" x14ac:dyDescent="0.25">
      <c r="A54" s="11"/>
      <c r="B54" s="11"/>
    </row>
    <row r="55" spans="1:2" x14ac:dyDescent="0.25">
      <c r="A55" s="11"/>
      <c r="B55" s="11"/>
    </row>
    <row r="56" spans="1:2" x14ac:dyDescent="0.25">
      <c r="A56" s="11"/>
      <c r="B56" s="11"/>
    </row>
    <row r="57" spans="1:2" x14ac:dyDescent="0.25">
      <c r="A57" s="11"/>
      <c r="B57" s="11"/>
    </row>
    <row r="58" spans="1:2" x14ac:dyDescent="0.25">
      <c r="A58" s="11"/>
      <c r="B58" s="11"/>
    </row>
    <row r="59" spans="1:2" x14ac:dyDescent="0.25">
      <c r="A59" s="11"/>
      <c r="B59" s="11"/>
    </row>
    <row r="60" spans="1:2" x14ac:dyDescent="0.25">
      <c r="A60" s="11"/>
      <c r="B60" s="11"/>
    </row>
    <row r="61" spans="1:2" x14ac:dyDescent="0.25">
      <c r="A61" s="11"/>
      <c r="B61" s="11"/>
    </row>
    <row r="62" spans="1:2" x14ac:dyDescent="0.25">
      <c r="A62" s="11"/>
      <c r="B62" s="11"/>
    </row>
    <row r="63" spans="1:2" x14ac:dyDescent="0.25">
      <c r="A63" s="11"/>
      <c r="B63" s="11"/>
    </row>
    <row r="64" spans="1:2" x14ac:dyDescent="0.25">
      <c r="A64" s="11"/>
      <c r="B64" s="11"/>
    </row>
    <row r="65" spans="1:2" x14ac:dyDescent="0.25">
      <c r="A65" s="11"/>
      <c r="B65" s="11"/>
    </row>
    <row r="66" spans="1:2" x14ac:dyDescent="0.25">
      <c r="A66" s="11"/>
      <c r="B66" s="11"/>
    </row>
    <row r="67" spans="1:2" x14ac:dyDescent="0.25">
      <c r="A67" s="11"/>
      <c r="B67" s="11"/>
    </row>
    <row r="68" spans="1:2" x14ac:dyDescent="0.25">
      <c r="A68" s="11"/>
      <c r="B68" s="11"/>
    </row>
    <row r="69" spans="1:2" x14ac:dyDescent="0.25">
      <c r="A69" s="11"/>
      <c r="B69" s="11"/>
    </row>
    <row r="70" spans="1:2" x14ac:dyDescent="0.25">
      <c r="A70" s="11"/>
      <c r="B70" s="11"/>
    </row>
    <row r="71" spans="1:2" x14ac:dyDescent="0.25">
      <c r="A71" s="11"/>
      <c r="B71" s="11"/>
    </row>
    <row r="72" spans="1:2" x14ac:dyDescent="0.25">
      <c r="A72" s="11"/>
      <c r="B72" s="11"/>
    </row>
    <row r="73" spans="1:2" x14ac:dyDescent="0.25">
      <c r="A73" s="11"/>
      <c r="B73" s="11"/>
    </row>
    <row r="74" spans="1:2" x14ac:dyDescent="0.25">
      <c r="A74" s="11"/>
      <c r="B74" s="11"/>
    </row>
    <row r="75" spans="1:2" x14ac:dyDescent="0.25">
      <c r="A75" s="11"/>
      <c r="B75" s="11"/>
    </row>
    <row r="76" spans="1:2" x14ac:dyDescent="0.25">
      <c r="A76" s="11"/>
      <c r="B76" s="11"/>
    </row>
    <row r="77" spans="1:2" x14ac:dyDescent="0.25">
      <c r="A77" s="11"/>
      <c r="B77" s="11"/>
    </row>
    <row r="78" spans="1:2" x14ac:dyDescent="0.25">
      <c r="A78" s="11"/>
      <c r="B78" s="11"/>
    </row>
    <row r="79" spans="1:2" x14ac:dyDescent="0.25">
      <c r="A79" s="11"/>
      <c r="B79" s="11"/>
    </row>
    <row r="80" spans="1:2" x14ac:dyDescent="0.25">
      <c r="A80" s="11"/>
      <c r="B80" s="11"/>
    </row>
    <row r="81" spans="1:2" x14ac:dyDescent="0.25">
      <c r="A81" s="11"/>
      <c r="B81" s="11"/>
    </row>
    <row r="82" spans="1:2" x14ac:dyDescent="0.25">
      <c r="A82" s="11"/>
      <c r="B82" s="11"/>
    </row>
    <row r="83" spans="1:2" x14ac:dyDescent="0.25">
      <c r="A83" s="11"/>
      <c r="B83" s="11"/>
    </row>
    <row r="84" spans="1:2" x14ac:dyDescent="0.25">
      <c r="A84" s="11"/>
      <c r="B84" s="11"/>
    </row>
    <row r="85" spans="1:2" x14ac:dyDescent="0.25">
      <c r="A85" s="11"/>
      <c r="B85" s="11"/>
    </row>
    <row r="86" spans="1:2" x14ac:dyDescent="0.25">
      <c r="A86" s="11"/>
      <c r="B86" s="11"/>
    </row>
    <row r="87" spans="1:2" x14ac:dyDescent="0.25">
      <c r="A87" s="11"/>
      <c r="B87" s="11"/>
    </row>
    <row r="88" spans="1:2" x14ac:dyDescent="0.25">
      <c r="A88" s="11"/>
      <c r="B88" s="11"/>
    </row>
    <row r="89" spans="1:2" x14ac:dyDescent="0.25">
      <c r="A89" s="11"/>
      <c r="B89" s="11"/>
    </row>
    <row r="90" spans="1:2" x14ac:dyDescent="0.25">
      <c r="A90" s="11"/>
      <c r="B90" s="11"/>
    </row>
    <row r="91" spans="1:2" x14ac:dyDescent="0.25">
      <c r="A91" s="11"/>
      <c r="B91" s="11"/>
    </row>
    <row r="92" spans="1:2" x14ac:dyDescent="0.25">
      <c r="A92" s="11"/>
      <c r="B92" s="11"/>
    </row>
    <row r="93" spans="1:2" x14ac:dyDescent="0.25">
      <c r="A93" s="11"/>
      <c r="B93" s="11"/>
    </row>
    <row r="94" spans="1:2" x14ac:dyDescent="0.25">
      <c r="A94" s="11"/>
      <c r="B94" s="11"/>
    </row>
    <row r="95" spans="1:2" x14ac:dyDescent="0.25">
      <c r="A95" s="11"/>
      <c r="B95" s="11"/>
    </row>
    <row r="96" spans="1:2" x14ac:dyDescent="0.25">
      <c r="A96" s="11"/>
      <c r="B96" s="11"/>
    </row>
    <row r="97" spans="1:2" x14ac:dyDescent="0.25">
      <c r="A97" s="11"/>
      <c r="B97" s="11"/>
    </row>
    <row r="98" spans="1:2" x14ac:dyDescent="0.25">
      <c r="A98" s="11"/>
      <c r="B98" s="11"/>
    </row>
    <row r="99" spans="1:2" x14ac:dyDescent="0.25">
      <c r="A99" s="11"/>
      <c r="B99" s="11"/>
    </row>
    <row r="100" spans="1:2" x14ac:dyDescent="0.25">
      <c r="A100" s="11"/>
      <c r="B100" s="11"/>
    </row>
    <row r="101" spans="1:2" x14ac:dyDescent="0.25">
      <c r="A101" s="11"/>
      <c r="B101" s="11"/>
    </row>
    <row r="102" spans="1:2" x14ac:dyDescent="0.25">
      <c r="A102" s="11"/>
      <c r="B102" s="11"/>
    </row>
    <row r="103" spans="1:2" x14ac:dyDescent="0.25">
      <c r="A103" s="11"/>
      <c r="B103" s="11"/>
    </row>
    <row r="104" spans="1:2" x14ac:dyDescent="0.25">
      <c r="A104" s="11"/>
      <c r="B104" s="11"/>
    </row>
    <row r="105" spans="1:2" x14ac:dyDescent="0.25">
      <c r="A105" s="11"/>
      <c r="B105" s="11"/>
    </row>
    <row r="106" spans="1:2" x14ac:dyDescent="0.25">
      <c r="A106" s="11"/>
      <c r="B106" s="11"/>
    </row>
    <row r="107" spans="1:2" x14ac:dyDescent="0.25">
      <c r="A107" s="11"/>
      <c r="B107" s="11"/>
    </row>
    <row r="108" spans="1:2" x14ac:dyDescent="0.25">
      <c r="A108" s="11"/>
      <c r="B108" s="11"/>
    </row>
    <row r="109" spans="1:2" x14ac:dyDescent="0.25">
      <c r="A109" s="11"/>
      <c r="B109" s="11"/>
    </row>
    <row r="110" spans="1:2" x14ac:dyDescent="0.25">
      <c r="A110" s="11"/>
      <c r="B110" s="11"/>
    </row>
    <row r="111" spans="1:2" x14ac:dyDescent="0.25">
      <c r="A111" s="11"/>
      <c r="B111" s="11"/>
    </row>
    <row r="112" spans="1:2" x14ac:dyDescent="0.25">
      <c r="A112" s="11"/>
      <c r="B112" s="11"/>
    </row>
    <row r="113" spans="1:2" x14ac:dyDescent="0.25">
      <c r="A113" s="11"/>
      <c r="B113" s="11"/>
    </row>
    <row r="114" spans="1:2" x14ac:dyDescent="0.25">
      <c r="A114" s="11"/>
      <c r="B114" s="11"/>
    </row>
    <row r="115" spans="1:2" x14ac:dyDescent="0.25">
      <c r="A115" s="11"/>
      <c r="B115" s="11"/>
    </row>
    <row r="116" spans="1:2" x14ac:dyDescent="0.25">
      <c r="A116" s="11"/>
      <c r="B116" s="11"/>
    </row>
    <row r="117" spans="1:2" x14ac:dyDescent="0.25">
      <c r="A117" s="11"/>
      <c r="B117" s="11"/>
    </row>
    <row r="118" spans="1:2" x14ac:dyDescent="0.25">
      <c r="A118" s="11"/>
      <c r="B118" s="11"/>
    </row>
    <row r="119" spans="1:2" x14ac:dyDescent="0.25">
      <c r="A119" s="11"/>
      <c r="B119" s="11"/>
    </row>
    <row r="120" spans="1:2" x14ac:dyDescent="0.25">
      <c r="A120" s="11"/>
      <c r="B120" s="11"/>
    </row>
    <row r="121" spans="1:2" x14ac:dyDescent="0.25">
      <c r="A121" s="11"/>
      <c r="B121" s="11"/>
    </row>
    <row r="122" spans="1:2" x14ac:dyDescent="0.25">
      <c r="A122" s="11"/>
      <c r="B122" s="11"/>
    </row>
    <row r="123" spans="1:2" x14ac:dyDescent="0.25">
      <c r="A123" s="11"/>
      <c r="B123" s="11"/>
    </row>
    <row r="124" spans="1:2" x14ac:dyDescent="0.25">
      <c r="A124" s="11"/>
      <c r="B124" s="11"/>
    </row>
    <row r="125" spans="1:2" x14ac:dyDescent="0.25">
      <c r="A125" s="11"/>
      <c r="B125" s="11"/>
    </row>
    <row r="126" spans="1:2" x14ac:dyDescent="0.25">
      <c r="A126" s="11"/>
      <c r="B126" s="11"/>
    </row>
    <row r="127" spans="1:2" x14ac:dyDescent="0.25">
      <c r="A127" s="11"/>
      <c r="B127" s="11"/>
    </row>
    <row r="128" spans="1:2" x14ac:dyDescent="0.25">
      <c r="A128" s="11"/>
      <c r="B128" s="11"/>
    </row>
    <row r="129" spans="1:2" x14ac:dyDescent="0.25">
      <c r="A129" s="11"/>
      <c r="B129" s="11"/>
    </row>
    <row r="130" spans="1:2" x14ac:dyDescent="0.25">
      <c r="A130" s="11"/>
      <c r="B130" s="11"/>
    </row>
    <row r="131" spans="1:2" x14ac:dyDescent="0.25">
      <c r="A131" s="11"/>
      <c r="B131" s="11"/>
    </row>
    <row r="132" spans="1:2" x14ac:dyDescent="0.25">
      <c r="A132" s="11"/>
      <c r="B132" s="11"/>
    </row>
    <row r="133" spans="1:2" x14ac:dyDescent="0.25">
      <c r="A133" s="11"/>
      <c r="B133" s="11"/>
    </row>
    <row r="134" spans="1:2" x14ac:dyDescent="0.25">
      <c r="A134" s="11"/>
      <c r="B134" s="11"/>
    </row>
    <row r="135" spans="1:2" x14ac:dyDescent="0.25">
      <c r="A135" s="11"/>
      <c r="B135" s="11"/>
    </row>
    <row r="136" spans="1:2" x14ac:dyDescent="0.25">
      <c r="A136" s="11"/>
      <c r="B136" s="11"/>
    </row>
    <row r="137" spans="1:2" x14ac:dyDescent="0.25">
      <c r="A137" s="11"/>
      <c r="B137" s="11"/>
    </row>
    <row r="138" spans="1:2" x14ac:dyDescent="0.25">
      <c r="A138" s="11"/>
      <c r="B138" s="11"/>
    </row>
    <row r="139" spans="1:2" x14ac:dyDescent="0.25">
      <c r="A139" s="11"/>
      <c r="B139" s="11"/>
    </row>
    <row r="140" spans="1:2" x14ac:dyDescent="0.25">
      <c r="A140" s="11"/>
      <c r="B140" s="11"/>
    </row>
    <row r="141" spans="1:2" x14ac:dyDescent="0.25">
      <c r="A141" s="11"/>
      <c r="B141" s="11"/>
    </row>
    <row r="142" spans="1:2" x14ac:dyDescent="0.25">
      <c r="A142" s="11"/>
      <c r="B142" s="11"/>
    </row>
    <row r="143" spans="1:2" x14ac:dyDescent="0.25">
      <c r="A143" s="11"/>
      <c r="B143" s="11"/>
    </row>
    <row r="144" spans="1:2" x14ac:dyDescent="0.25">
      <c r="A144" s="11"/>
      <c r="B144" s="11"/>
    </row>
    <row r="145" spans="1:2" x14ac:dyDescent="0.25">
      <c r="A145" s="11"/>
      <c r="B145" s="11"/>
    </row>
    <row r="146" spans="1:2" x14ac:dyDescent="0.25">
      <c r="A146" s="11"/>
      <c r="B146" s="11"/>
    </row>
    <row r="147" spans="1:2" x14ac:dyDescent="0.25">
      <c r="A147" s="11"/>
      <c r="B147" s="11"/>
    </row>
    <row r="148" spans="1:2" x14ac:dyDescent="0.25">
      <c r="A148" s="11"/>
      <c r="B148" s="11"/>
    </row>
    <row r="149" spans="1:2" x14ac:dyDescent="0.25">
      <c r="A149" s="11"/>
      <c r="B149" s="11"/>
    </row>
    <row r="150" spans="1:2" x14ac:dyDescent="0.25">
      <c r="A150" s="11"/>
      <c r="B150" s="11"/>
    </row>
    <row r="151" spans="1:2" x14ac:dyDescent="0.25">
      <c r="A151" s="11"/>
      <c r="B151" s="1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25A0A-8424-4A7B-B68E-14E4AD605EA6}">
  <dimension ref="A2:B151"/>
  <sheetViews>
    <sheetView workbookViewId="0">
      <selection activeCell="M28" sqref="M28"/>
    </sheetView>
  </sheetViews>
  <sheetFormatPr defaultRowHeight="15" x14ac:dyDescent="0.25"/>
  <cols>
    <col min="1" max="1" width="8.85546875" bestFit="1" customWidth="1"/>
    <col min="2" max="2" width="11.85546875" bestFit="1" customWidth="1"/>
    <col min="3" max="3" width="9.85546875" bestFit="1" customWidth="1"/>
  </cols>
  <sheetData>
    <row r="2" spans="1:2" x14ac:dyDescent="0.25">
      <c r="A2" s="11"/>
      <c r="B2" s="11"/>
    </row>
    <row r="3" spans="1:2" x14ac:dyDescent="0.25">
      <c r="A3" s="11"/>
      <c r="B3" s="11"/>
    </row>
    <row r="4" spans="1:2" x14ac:dyDescent="0.25">
      <c r="A4" s="11"/>
      <c r="B4" s="11"/>
    </row>
    <row r="5" spans="1:2" x14ac:dyDescent="0.25">
      <c r="A5" s="11"/>
      <c r="B5" s="11"/>
    </row>
    <row r="6" spans="1:2" x14ac:dyDescent="0.25">
      <c r="A6" s="11"/>
      <c r="B6" s="11"/>
    </row>
    <row r="7" spans="1:2" x14ac:dyDescent="0.25">
      <c r="A7" s="11"/>
      <c r="B7" s="11"/>
    </row>
    <row r="8" spans="1:2" x14ac:dyDescent="0.25">
      <c r="A8" s="11"/>
      <c r="B8" s="11"/>
    </row>
    <row r="9" spans="1:2" x14ac:dyDescent="0.25">
      <c r="A9" s="11"/>
      <c r="B9" s="11"/>
    </row>
    <row r="10" spans="1:2" x14ac:dyDescent="0.25">
      <c r="A10" s="11"/>
      <c r="B10" s="11"/>
    </row>
    <row r="11" spans="1:2" x14ac:dyDescent="0.25">
      <c r="A11" s="11"/>
      <c r="B11" s="11"/>
    </row>
    <row r="12" spans="1:2" x14ac:dyDescent="0.25">
      <c r="A12" s="11"/>
      <c r="B12" s="11"/>
    </row>
    <row r="13" spans="1:2" x14ac:dyDescent="0.25">
      <c r="A13" s="11"/>
      <c r="B13" s="11"/>
    </row>
    <row r="14" spans="1:2" x14ac:dyDescent="0.25">
      <c r="A14" s="11"/>
      <c r="B14" s="11"/>
    </row>
    <row r="15" spans="1:2" x14ac:dyDescent="0.25">
      <c r="A15" s="11"/>
      <c r="B15" s="11"/>
    </row>
    <row r="16" spans="1:2" x14ac:dyDescent="0.25">
      <c r="A16" s="11"/>
      <c r="B16" s="11"/>
    </row>
    <row r="17" spans="1:2" x14ac:dyDescent="0.25">
      <c r="A17" s="11"/>
      <c r="B17" s="11"/>
    </row>
    <row r="18" spans="1:2" x14ac:dyDescent="0.25">
      <c r="A18" s="11"/>
      <c r="B18" s="11"/>
    </row>
    <row r="19" spans="1:2" x14ac:dyDescent="0.25">
      <c r="A19" s="11"/>
      <c r="B19" s="11"/>
    </row>
    <row r="20" spans="1:2" x14ac:dyDescent="0.25">
      <c r="A20" s="11"/>
      <c r="B20" s="11"/>
    </row>
    <row r="21" spans="1:2" x14ac:dyDescent="0.25">
      <c r="A21" s="11"/>
      <c r="B21" s="11"/>
    </row>
    <row r="22" spans="1:2" x14ac:dyDescent="0.25">
      <c r="A22" s="11"/>
      <c r="B22" s="11"/>
    </row>
    <row r="23" spans="1:2" x14ac:dyDescent="0.25">
      <c r="A23" s="11"/>
      <c r="B23" s="11"/>
    </row>
    <row r="24" spans="1:2" x14ac:dyDescent="0.25">
      <c r="A24" s="11"/>
      <c r="B24" s="11"/>
    </row>
    <row r="25" spans="1:2" x14ac:dyDescent="0.25">
      <c r="A25" s="11"/>
      <c r="B25" s="11"/>
    </row>
    <row r="26" spans="1:2" x14ac:dyDescent="0.25">
      <c r="A26" s="11"/>
      <c r="B26" s="11"/>
    </row>
    <row r="27" spans="1:2" x14ac:dyDescent="0.25">
      <c r="A27" s="11"/>
      <c r="B27" s="11"/>
    </row>
    <row r="28" spans="1:2" x14ac:dyDescent="0.25">
      <c r="A28" s="11"/>
      <c r="B28" s="11"/>
    </row>
    <row r="29" spans="1:2" x14ac:dyDescent="0.25">
      <c r="A29" s="11"/>
      <c r="B29" s="11"/>
    </row>
    <row r="30" spans="1:2" x14ac:dyDescent="0.25">
      <c r="A30" s="11"/>
      <c r="B30" s="11"/>
    </row>
    <row r="31" spans="1:2" x14ac:dyDescent="0.25">
      <c r="A31" s="11"/>
      <c r="B31" s="11"/>
    </row>
    <row r="32" spans="1:2" x14ac:dyDescent="0.25">
      <c r="A32" s="11"/>
      <c r="B32" s="11"/>
    </row>
    <row r="33" spans="1:2" x14ac:dyDescent="0.25">
      <c r="A33" s="11"/>
      <c r="B33" s="11"/>
    </row>
    <row r="34" spans="1:2" x14ac:dyDescent="0.25">
      <c r="A34" s="11"/>
      <c r="B34" s="11"/>
    </row>
    <row r="35" spans="1:2" x14ac:dyDescent="0.25">
      <c r="A35" s="11"/>
      <c r="B35" s="11"/>
    </row>
    <row r="36" spans="1:2" x14ac:dyDescent="0.25">
      <c r="A36" s="11"/>
      <c r="B36" s="11"/>
    </row>
    <row r="37" spans="1:2" x14ac:dyDescent="0.25">
      <c r="A37" s="11"/>
      <c r="B37" s="11"/>
    </row>
    <row r="38" spans="1:2" x14ac:dyDescent="0.25">
      <c r="A38" s="11"/>
      <c r="B38" s="11"/>
    </row>
    <row r="39" spans="1:2" x14ac:dyDescent="0.25">
      <c r="A39" s="11"/>
      <c r="B39" s="11"/>
    </row>
    <row r="40" spans="1:2" x14ac:dyDescent="0.25">
      <c r="A40" s="11"/>
      <c r="B40" s="11"/>
    </row>
    <row r="41" spans="1:2" x14ac:dyDescent="0.25">
      <c r="A41" s="11"/>
      <c r="B41" s="11"/>
    </row>
    <row r="42" spans="1:2" x14ac:dyDescent="0.25">
      <c r="A42" s="11"/>
      <c r="B42" s="11"/>
    </row>
    <row r="43" spans="1:2" x14ac:dyDescent="0.25">
      <c r="A43" s="11"/>
      <c r="B43" s="11"/>
    </row>
    <row r="44" spans="1:2" x14ac:dyDescent="0.25">
      <c r="A44" s="11"/>
      <c r="B44" s="11"/>
    </row>
    <row r="45" spans="1:2" x14ac:dyDescent="0.25">
      <c r="A45" s="11"/>
      <c r="B45" s="11"/>
    </row>
    <row r="46" spans="1:2" x14ac:dyDescent="0.25">
      <c r="A46" s="11"/>
      <c r="B46" s="11"/>
    </row>
    <row r="47" spans="1:2" x14ac:dyDescent="0.25">
      <c r="A47" s="11"/>
      <c r="B47" s="11"/>
    </row>
    <row r="48" spans="1:2" x14ac:dyDescent="0.25">
      <c r="A48" s="11"/>
      <c r="B48" s="11"/>
    </row>
    <row r="49" spans="1:2" x14ac:dyDescent="0.25">
      <c r="A49" s="11"/>
      <c r="B49" s="11"/>
    </row>
    <row r="50" spans="1:2" x14ac:dyDescent="0.25">
      <c r="A50" s="11"/>
      <c r="B50" s="11"/>
    </row>
    <row r="51" spans="1:2" x14ac:dyDescent="0.25">
      <c r="A51" s="11"/>
      <c r="B51" s="11"/>
    </row>
    <row r="52" spans="1:2" x14ac:dyDescent="0.25">
      <c r="A52" s="11"/>
      <c r="B52" s="11"/>
    </row>
    <row r="53" spans="1:2" x14ac:dyDescent="0.25">
      <c r="A53" s="11"/>
      <c r="B53" s="11"/>
    </row>
    <row r="54" spans="1:2" x14ac:dyDescent="0.25">
      <c r="A54" s="11"/>
      <c r="B54" s="11"/>
    </row>
    <row r="55" spans="1:2" x14ac:dyDescent="0.25">
      <c r="A55" s="11"/>
      <c r="B55" s="11"/>
    </row>
    <row r="56" spans="1:2" x14ac:dyDescent="0.25">
      <c r="A56" s="11"/>
      <c r="B56" s="11"/>
    </row>
    <row r="57" spans="1:2" x14ac:dyDescent="0.25">
      <c r="A57" s="11"/>
      <c r="B57" s="11"/>
    </row>
    <row r="58" spans="1:2" x14ac:dyDescent="0.25">
      <c r="A58" s="11"/>
      <c r="B58" s="11"/>
    </row>
    <row r="59" spans="1:2" x14ac:dyDescent="0.25">
      <c r="A59" s="11"/>
      <c r="B59" s="11"/>
    </row>
    <row r="60" spans="1:2" x14ac:dyDescent="0.25">
      <c r="A60" s="11"/>
      <c r="B60" s="11"/>
    </row>
    <row r="61" spans="1:2" x14ac:dyDescent="0.25">
      <c r="A61" s="11"/>
      <c r="B61" s="11"/>
    </row>
    <row r="62" spans="1:2" x14ac:dyDescent="0.25">
      <c r="A62" s="11"/>
      <c r="B62" s="11"/>
    </row>
    <row r="63" spans="1:2" x14ac:dyDescent="0.25">
      <c r="A63" s="11"/>
      <c r="B63" s="11"/>
    </row>
    <row r="64" spans="1:2" x14ac:dyDescent="0.25">
      <c r="A64" s="11"/>
      <c r="B64" s="11"/>
    </row>
    <row r="65" spans="1:2" x14ac:dyDescent="0.25">
      <c r="A65" s="11"/>
      <c r="B65" s="11"/>
    </row>
    <row r="66" spans="1:2" x14ac:dyDescent="0.25">
      <c r="A66" s="11"/>
      <c r="B66" s="11"/>
    </row>
    <row r="67" spans="1:2" x14ac:dyDescent="0.25">
      <c r="A67" s="11"/>
      <c r="B67" s="11"/>
    </row>
    <row r="68" spans="1:2" x14ac:dyDescent="0.25">
      <c r="A68" s="11"/>
      <c r="B68" s="11"/>
    </row>
    <row r="69" spans="1:2" x14ac:dyDescent="0.25">
      <c r="A69" s="11"/>
      <c r="B69" s="11"/>
    </row>
    <row r="70" spans="1:2" x14ac:dyDescent="0.25">
      <c r="A70" s="11"/>
      <c r="B70" s="11"/>
    </row>
    <row r="71" spans="1:2" x14ac:dyDescent="0.25">
      <c r="A71" s="11"/>
      <c r="B71" s="11"/>
    </row>
    <row r="72" spans="1:2" x14ac:dyDescent="0.25">
      <c r="A72" s="11"/>
      <c r="B72" s="11"/>
    </row>
    <row r="73" spans="1:2" x14ac:dyDescent="0.25">
      <c r="A73" s="11"/>
      <c r="B73" s="11"/>
    </row>
    <row r="74" spans="1:2" x14ac:dyDescent="0.25">
      <c r="A74" s="11"/>
      <c r="B74" s="11"/>
    </row>
    <row r="75" spans="1:2" x14ac:dyDescent="0.25">
      <c r="A75" s="11"/>
      <c r="B75" s="11"/>
    </row>
    <row r="76" spans="1:2" x14ac:dyDescent="0.25">
      <c r="A76" s="11"/>
      <c r="B76" s="11"/>
    </row>
    <row r="77" spans="1:2" x14ac:dyDescent="0.25">
      <c r="A77" s="11"/>
      <c r="B77" s="11"/>
    </row>
    <row r="78" spans="1:2" x14ac:dyDescent="0.25">
      <c r="A78" s="11"/>
      <c r="B78" s="11"/>
    </row>
    <row r="79" spans="1:2" x14ac:dyDescent="0.25">
      <c r="A79" s="11"/>
      <c r="B79" s="11"/>
    </row>
    <row r="80" spans="1:2" x14ac:dyDescent="0.25">
      <c r="A80" s="11"/>
      <c r="B80" s="11"/>
    </row>
    <row r="81" spans="1:2" x14ac:dyDescent="0.25">
      <c r="A81" s="11"/>
      <c r="B81" s="11"/>
    </row>
    <row r="82" spans="1:2" x14ac:dyDescent="0.25">
      <c r="A82" s="11"/>
      <c r="B82" s="11"/>
    </row>
    <row r="83" spans="1:2" x14ac:dyDescent="0.25">
      <c r="A83" s="11"/>
      <c r="B83" s="11"/>
    </row>
    <row r="84" spans="1:2" x14ac:dyDescent="0.25">
      <c r="A84" s="11"/>
      <c r="B84" s="11"/>
    </row>
    <row r="85" spans="1:2" x14ac:dyDescent="0.25">
      <c r="A85" s="11"/>
      <c r="B85" s="11"/>
    </row>
    <row r="86" spans="1:2" x14ac:dyDescent="0.25">
      <c r="A86" s="11"/>
      <c r="B86" s="11"/>
    </row>
    <row r="87" spans="1:2" x14ac:dyDescent="0.25">
      <c r="A87" s="11"/>
      <c r="B87" s="11"/>
    </row>
    <row r="88" spans="1:2" x14ac:dyDescent="0.25">
      <c r="A88" s="11"/>
      <c r="B88" s="11"/>
    </row>
    <row r="89" spans="1:2" x14ac:dyDescent="0.25">
      <c r="A89" s="11"/>
      <c r="B89" s="11"/>
    </row>
    <row r="90" spans="1:2" x14ac:dyDescent="0.25">
      <c r="A90" s="11"/>
      <c r="B90" s="11"/>
    </row>
    <row r="91" spans="1:2" x14ac:dyDescent="0.25">
      <c r="A91" s="11"/>
      <c r="B91" s="11"/>
    </row>
    <row r="92" spans="1:2" x14ac:dyDescent="0.25">
      <c r="A92" s="11"/>
      <c r="B92" s="11"/>
    </row>
    <row r="93" spans="1:2" x14ac:dyDescent="0.25">
      <c r="A93" s="11"/>
      <c r="B93" s="11"/>
    </row>
    <row r="94" spans="1:2" x14ac:dyDescent="0.25">
      <c r="A94" s="11"/>
      <c r="B94" s="11"/>
    </row>
    <row r="95" spans="1:2" x14ac:dyDescent="0.25">
      <c r="A95" s="11"/>
      <c r="B95" s="11"/>
    </row>
    <row r="96" spans="1:2" x14ac:dyDescent="0.25">
      <c r="A96" s="11"/>
      <c r="B96" s="11"/>
    </row>
    <row r="97" spans="1:2" x14ac:dyDescent="0.25">
      <c r="A97" s="11"/>
      <c r="B97" s="11"/>
    </row>
    <row r="98" spans="1:2" x14ac:dyDescent="0.25">
      <c r="A98" s="11"/>
      <c r="B98" s="11"/>
    </row>
    <row r="99" spans="1:2" x14ac:dyDescent="0.25">
      <c r="A99" s="11"/>
      <c r="B99" s="11"/>
    </row>
    <row r="100" spans="1:2" x14ac:dyDescent="0.25">
      <c r="A100" s="11"/>
      <c r="B100" s="11"/>
    </row>
    <row r="101" spans="1:2" x14ac:dyDescent="0.25">
      <c r="A101" s="11"/>
      <c r="B101" s="11"/>
    </row>
    <row r="102" spans="1:2" x14ac:dyDescent="0.25">
      <c r="A102" s="11"/>
      <c r="B102" s="11"/>
    </row>
    <row r="103" spans="1:2" x14ac:dyDescent="0.25">
      <c r="A103" s="11"/>
      <c r="B103" s="11"/>
    </row>
    <row r="104" spans="1:2" x14ac:dyDescent="0.25">
      <c r="A104" s="11"/>
      <c r="B104" s="11"/>
    </row>
    <row r="105" spans="1:2" x14ac:dyDescent="0.25">
      <c r="A105" s="11"/>
      <c r="B105" s="11"/>
    </row>
    <row r="106" spans="1:2" x14ac:dyDescent="0.25">
      <c r="A106" s="11"/>
      <c r="B106" s="11"/>
    </row>
    <row r="107" spans="1:2" x14ac:dyDescent="0.25">
      <c r="A107" s="11"/>
      <c r="B107" s="11"/>
    </row>
    <row r="108" spans="1:2" x14ac:dyDescent="0.25">
      <c r="A108" s="11"/>
      <c r="B108" s="11"/>
    </row>
    <row r="109" spans="1:2" x14ac:dyDescent="0.25">
      <c r="A109" s="11"/>
      <c r="B109" s="11"/>
    </row>
    <row r="110" spans="1:2" x14ac:dyDescent="0.25">
      <c r="A110" s="11"/>
      <c r="B110" s="11"/>
    </row>
    <row r="111" spans="1:2" x14ac:dyDescent="0.25">
      <c r="A111" s="11"/>
      <c r="B111" s="11"/>
    </row>
    <row r="112" spans="1:2" x14ac:dyDescent="0.25">
      <c r="A112" s="11"/>
      <c r="B112" s="11"/>
    </row>
    <row r="113" spans="1:2" x14ac:dyDescent="0.25">
      <c r="A113" s="11"/>
      <c r="B113" s="11"/>
    </row>
    <row r="114" spans="1:2" x14ac:dyDescent="0.25">
      <c r="A114" s="11"/>
      <c r="B114" s="11"/>
    </row>
    <row r="115" spans="1:2" x14ac:dyDescent="0.25">
      <c r="A115" s="11"/>
      <c r="B115" s="11"/>
    </row>
    <row r="116" spans="1:2" x14ac:dyDescent="0.25">
      <c r="A116" s="11"/>
      <c r="B116" s="11"/>
    </row>
    <row r="117" spans="1:2" x14ac:dyDescent="0.25">
      <c r="A117" s="11"/>
      <c r="B117" s="11"/>
    </row>
    <row r="118" spans="1:2" x14ac:dyDescent="0.25">
      <c r="A118" s="11"/>
      <c r="B118" s="11"/>
    </row>
    <row r="119" spans="1:2" x14ac:dyDescent="0.25">
      <c r="A119" s="11"/>
      <c r="B119" s="11"/>
    </row>
    <row r="120" spans="1:2" x14ac:dyDescent="0.25">
      <c r="A120" s="11"/>
      <c r="B120" s="11"/>
    </row>
    <row r="121" spans="1:2" x14ac:dyDescent="0.25">
      <c r="A121" s="11"/>
      <c r="B121" s="11"/>
    </row>
    <row r="122" spans="1:2" x14ac:dyDescent="0.25">
      <c r="A122" s="11"/>
      <c r="B122" s="11"/>
    </row>
    <row r="123" spans="1:2" x14ac:dyDescent="0.25">
      <c r="A123" s="11"/>
      <c r="B123" s="11"/>
    </row>
    <row r="124" spans="1:2" x14ac:dyDescent="0.25">
      <c r="A124" s="11"/>
      <c r="B124" s="11"/>
    </row>
    <row r="125" spans="1:2" x14ac:dyDescent="0.25">
      <c r="A125" s="11"/>
      <c r="B125" s="11"/>
    </row>
    <row r="126" spans="1:2" x14ac:dyDescent="0.25">
      <c r="A126" s="11"/>
      <c r="B126" s="11"/>
    </row>
    <row r="127" spans="1:2" x14ac:dyDescent="0.25">
      <c r="A127" s="11"/>
      <c r="B127" s="11"/>
    </row>
    <row r="128" spans="1:2" x14ac:dyDescent="0.25">
      <c r="A128" s="11"/>
      <c r="B128" s="11"/>
    </row>
    <row r="129" spans="1:2" x14ac:dyDescent="0.25">
      <c r="A129" s="11"/>
      <c r="B129" s="11"/>
    </row>
    <row r="130" spans="1:2" x14ac:dyDescent="0.25">
      <c r="A130" s="11"/>
      <c r="B130" s="11"/>
    </row>
    <row r="131" spans="1:2" x14ac:dyDescent="0.25">
      <c r="A131" s="11"/>
      <c r="B131" s="11"/>
    </row>
    <row r="132" spans="1:2" x14ac:dyDescent="0.25">
      <c r="A132" s="11"/>
      <c r="B132" s="11"/>
    </row>
    <row r="133" spans="1:2" x14ac:dyDescent="0.25">
      <c r="A133" s="11"/>
      <c r="B133" s="11"/>
    </row>
    <row r="134" spans="1:2" x14ac:dyDescent="0.25">
      <c r="A134" s="11"/>
      <c r="B134" s="11"/>
    </row>
    <row r="135" spans="1:2" x14ac:dyDescent="0.25">
      <c r="A135" s="11"/>
      <c r="B135" s="11"/>
    </row>
    <row r="136" spans="1:2" x14ac:dyDescent="0.25">
      <c r="A136" s="11"/>
      <c r="B136" s="11"/>
    </row>
    <row r="137" spans="1:2" x14ac:dyDescent="0.25">
      <c r="A137" s="11"/>
      <c r="B137" s="11"/>
    </row>
    <row r="138" spans="1:2" x14ac:dyDescent="0.25">
      <c r="A138" s="11"/>
      <c r="B138" s="11"/>
    </row>
    <row r="139" spans="1:2" x14ac:dyDescent="0.25">
      <c r="A139" s="11"/>
      <c r="B139" s="11"/>
    </row>
    <row r="140" spans="1:2" x14ac:dyDescent="0.25">
      <c r="A140" s="11"/>
      <c r="B140" s="11"/>
    </row>
    <row r="141" spans="1:2" x14ac:dyDescent="0.25">
      <c r="A141" s="11"/>
      <c r="B141" s="11"/>
    </row>
    <row r="142" spans="1:2" x14ac:dyDescent="0.25">
      <c r="A142" s="11"/>
      <c r="B142" s="11"/>
    </row>
    <row r="143" spans="1:2" x14ac:dyDescent="0.25">
      <c r="A143" s="11"/>
      <c r="B143" s="11"/>
    </row>
    <row r="144" spans="1:2" x14ac:dyDescent="0.25">
      <c r="A144" s="11"/>
      <c r="B144" s="11"/>
    </row>
    <row r="145" spans="1:2" x14ac:dyDescent="0.25">
      <c r="A145" s="11"/>
      <c r="B145" s="11"/>
    </row>
    <row r="146" spans="1:2" x14ac:dyDescent="0.25">
      <c r="A146" s="11"/>
      <c r="B146" s="11"/>
    </row>
    <row r="147" spans="1:2" x14ac:dyDescent="0.25">
      <c r="A147" s="11"/>
      <c r="B147" s="11"/>
    </row>
    <row r="148" spans="1:2" x14ac:dyDescent="0.25">
      <c r="A148" s="11"/>
      <c r="B148" s="11"/>
    </row>
    <row r="149" spans="1:2" x14ac:dyDescent="0.25">
      <c r="A149" s="11"/>
      <c r="B149" s="11"/>
    </row>
    <row r="150" spans="1:2" x14ac:dyDescent="0.25">
      <c r="A150" s="11"/>
      <c r="B150" s="11"/>
    </row>
    <row r="151" spans="1:2" x14ac:dyDescent="0.25">
      <c r="A151" s="11"/>
      <c r="B151" s="1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17495-FA73-4340-82B3-F7E148885CD8}">
  <dimension ref="A1:D151"/>
  <sheetViews>
    <sheetView topLeftCell="A123" workbookViewId="0">
      <selection activeCell="M28" sqref="M28"/>
    </sheetView>
  </sheetViews>
  <sheetFormatPr defaultRowHeight="15" x14ac:dyDescent="0.25"/>
  <cols>
    <col min="1" max="1" width="10.42578125" bestFit="1" customWidth="1"/>
    <col min="2" max="2" width="8.85546875" bestFit="1" customWidth="1"/>
    <col min="3" max="3" width="11.85546875" bestFit="1" customWidth="1"/>
    <col min="4" max="4" width="13.140625" bestFit="1" customWidth="1"/>
    <col min="5" max="13" width="9.85546875" bestFit="1" customWidth="1"/>
    <col min="14" max="14" width="10.85546875" bestFit="1" customWidth="1"/>
  </cols>
  <sheetData>
    <row r="1" spans="1:4" x14ac:dyDescent="0.25">
      <c r="B1" s="32" t="s">
        <v>0</v>
      </c>
      <c r="C1" s="32" t="s">
        <v>10</v>
      </c>
      <c r="D1" s="32" t="s">
        <v>582</v>
      </c>
    </row>
    <row r="2" spans="1:4" x14ac:dyDescent="0.25">
      <c r="A2" s="10"/>
      <c r="B2" s="31" t="s">
        <v>421</v>
      </c>
      <c r="C2" s="31" t="s">
        <v>190</v>
      </c>
      <c r="D2" s="31">
        <v>927</v>
      </c>
    </row>
    <row r="3" spans="1:4" x14ac:dyDescent="0.25">
      <c r="A3" s="10"/>
      <c r="B3" s="29" t="s">
        <v>422</v>
      </c>
      <c r="C3" s="29" t="s">
        <v>15</v>
      </c>
      <c r="D3" s="29">
        <v>983</v>
      </c>
    </row>
    <row r="4" spans="1:4" x14ac:dyDescent="0.25">
      <c r="A4" s="10"/>
      <c r="B4" s="31" t="s">
        <v>423</v>
      </c>
      <c r="C4" s="31" t="s">
        <v>12</v>
      </c>
      <c r="D4" s="31">
        <v>687</v>
      </c>
    </row>
    <row r="5" spans="1:4" x14ac:dyDescent="0.25">
      <c r="A5" s="10"/>
      <c r="B5" s="29" t="s">
        <v>424</v>
      </c>
      <c r="C5" s="29" t="s">
        <v>587</v>
      </c>
      <c r="D5" s="29">
        <v>935</v>
      </c>
    </row>
    <row r="6" spans="1:4" x14ac:dyDescent="0.25">
      <c r="A6" s="10"/>
      <c r="B6" s="31" t="s">
        <v>425</v>
      </c>
      <c r="C6" s="31" t="s">
        <v>190</v>
      </c>
      <c r="D6" s="31">
        <v>664</v>
      </c>
    </row>
    <row r="7" spans="1:4" x14ac:dyDescent="0.25">
      <c r="A7" s="10"/>
      <c r="B7" s="29" t="s">
        <v>426</v>
      </c>
      <c r="C7" s="29" t="s">
        <v>13</v>
      </c>
      <c r="D7" s="29">
        <v>975</v>
      </c>
    </row>
    <row r="8" spans="1:4" x14ac:dyDescent="0.25">
      <c r="A8" s="10"/>
      <c r="B8" s="31" t="s">
        <v>427</v>
      </c>
      <c r="C8" s="31" t="s">
        <v>12</v>
      </c>
      <c r="D8" s="31">
        <v>16</v>
      </c>
    </row>
    <row r="9" spans="1:4" x14ac:dyDescent="0.25">
      <c r="A9" s="10"/>
      <c r="B9" s="29" t="s">
        <v>428</v>
      </c>
      <c r="C9" s="29" t="s">
        <v>587</v>
      </c>
      <c r="D9" s="29">
        <v>232</v>
      </c>
    </row>
    <row r="10" spans="1:4" x14ac:dyDescent="0.25">
      <c r="A10" s="10"/>
      <c r="B10" s="31" t="s">
        <v>429</v>
      </c>
      <c r="C10" s="31" t="s">
        <v>190</v>
      </c>
      <c r="D10" s="31">
        <v>622</v>
      </c>
    </row>
    <row r="11" spans="1:4" x14ac:dyDescent="0.25">
      <c r="A11" s="10"/>
      <c r="B11" s="29" t="s">
        <v>430</v>
      </c>
      <c r="C11" s="29" t="s">
        <v>12</v>
      </c>
      <c r="D11" s="29">
        <v>470</v>
      </c>
    </row>
    <row r="12" spans="1:4" x14ac:dyDescent="0.25">
      <c r="A12" s="10"/>
      <c r="B12" s="31" t="s">
        <v>431</v>
      </c>
      <c r="C12" s="31" t="s">
        <v>15</v>
      </c>
      <c r="D12" s="31">
        <v>760</v>
      </c>
    </row>
    <row r="13" spans="1:4" x14ac:dyDescent="0.25">
      <c r="A13" s="10"/>
      <c r="B13" s="29" t="s">
        <v>432</v>
      </c>
      <c r="C13" s="29" t="s">
        <v>15</v>
      </c>
      <c r="D13" s="29">
        <v>689</v>
      </c>
    </row>
    <row r="14" spans="1:4" x14ac:dyDescent="0.25">
      <c r="A14" s="10"/>
      <c r="B14" s="31" t="s">
        <v>433</v>
      </c>
      <c r="C14" s="31" t="s">
        <v>13</v>
      </c>
      <c r="D14" s="31">
        <v>263</v>
      </c>
    </row>
    <row r="15" spans="1:4" x14ac:dyDescent="0.25">
      <c r="A15" s="10"/>
      <c r="B15" s="29" t="s">
        <v>434</v>
      </c>
      <c r="C15" s="29" t="s">
        <v>15</v>
      </c>
      <c r="D15" s="29">
        <v>183</v>
      </c>
    </row>
    <row r="16" spans="1:4" x14ac:dyDescent="0.25">
      <c r="A16" s="10"/>
      <c r="B16" s="31" t="s">
        <v>435</v>
      </c>
      <c r="C16" s="31" t="s">
        <v>12</v>
      </c>
      <c r="D16" s="31">
        <v>454</v>
      </c>
    </row>
    <row r="17" spans="1:4" x14ac:dyDescent="0.25">
      <c r="A17" s="10"/>
      <c r="B17" s="29" t="s">
        <v>436</v>
      </c>
      <c r="C17" s="29" t="s">
        <v>190</v>
      </c>
      <c r="D17" s="29">
        <v>482</v>
      </c>
    </row>
    <row r="18" spans="1:4" x14ac:dyDescent="0.25">
      <c r="A18" s="10"/>
      <c r="B18" s="31" t="s">
        <v>437</v>
      </c>
      <c r="C18" s="31" t="s">
        <v>587</v>
      </c>
      <c r="D18" s="31">
        <v>484</v>
      </c>
    </row>
    <row r="19" spans="1:4" x14ac:dyDescent="0.25">
      <c r="A19" s="10"/>
      <c r="B19" s="29" t="s">
        <v>438</v>
      </c>
      <c r="C19" s="29" t="s">
        <v>12</v>
      </c>
      <c r="D19" s="29">
        <v>400</v>
      </c>
    </row>
    <row r="20" spans="1:4" x14ac:dyDescent="0.25">
      <c r="A20" s="10"/>
      <c r="B20" s="31" t="s">
        <v>439</v>
      </c>
      <c r="C20" s="31" t="s">
        <v>52</v>
      </c>
      <c r="D20" s="31">
        <v>448</v>
      </c>
    </row>
    <row r="21" spans="1:4" x14ac:dyDescent="0.25">
      <c r="A21" s="10"/>
      <c r="B21" s="29" t="s">
        <v>440</v>
      </c>
      <c r="C21" s="29" t="s">
        <v>587</v>
      </c>
      <c r="D21" s="29">
        <v>458</v>
      </c>
    </row>
    <row r="22" spans="1:4" x14ac:dyDescent="0.25">
      <c r="A22" s="10"/>
      <c r="B22" s="31" t="s">
        <v>441</v>
      </c>
      <c r="C22" s="31" t="s">
        <v>587</v>
      </c>
      <c r="D22" s="31">
        <v>519</v>
      </c>
    </row>
    <row r="23" spans="1:4" x14ac:dyDescent="0.25">
      <c r="A23" s="10"/>
      <c r="B23" s="29" t="s">
        <v>442</v>
      </c>
      <c r="C23" s="29" t="s">
        <v>13</v>
      </c>
      <c r="D23" s="29">
        <v>975</v>
      </c>
    </row>
    <row r="24" spans="1:4" x14ac:dyDescent="0.25">
      <c r="A24" s="10"/>
      <c r="B24" s="31" t="s">
        <v>443</v>
      </c>
      <c r="C24" s="31" t="s">
        <v>190</v>
      </c>
      <c r="D24" s="31">
        <v>961</v>
      </c>
    </row>
    <row r="25" spans="1:4" x14ac:dyDescent="0.25">
      <c r="A25" s="10"/>
      <c r="B25" s="29" t="s">
        <v>444</v>
      </c>
      <c r="C25" s="29" t="s">
        <v>15</v>
      </c>
      <c r="D25" s="29">
        <v>770</v>
      </c>
    </row>
    <row r="26" spans="1:4" x14ac:dyDescent="0.25">
      <c r="A26" s="10"/>
      <c r="B26" s="31" t="s">
        <v>445</v>
      </c>
      <c r="C26" s="31" t="s">
        <v>587</v>
      </c>
      <c r="D26" s="31">
        <v>90</v>
      </c>
    </row>
    <row r="27" spans="1:4" x14ac:dyDescent="0.25">
      <c r="A27" s="10"/>
      <c r="B27" s="29" t="s">
        <v>446</v>
      </c>
      <c r="C27" s="29" t="s">
        <v>13</v>
      </c>
      <c r="D27" s="29">
        <v>529</v>
      </c>
    </row>
    <row r="28" spans="1:4" x14ac:dyDescent="0.25">
      <c r="A28" s="10"/>
      <c r="B28" s="31" t="s">
        <v>447</v>
      </c>
      <c r="C28" s="31" t="s">
        <v>587</v>
      </c>
      <c r="D28" s="31">
        <v>227</v>
      </c>
    </row>
    <row r="29" spans="1:4" x14ac:dyDescent="0.25">
      <c r="A29" s="10"/>
      <c r="B29" s="29" t="s">
        <v>448</v>
      </c>
      <c r="C29" s="29" t="s">
        <v>587</v>
      </c>
      <c r="D29" s="29">
        <v>353</v>
      </c>
    </row>
    <row r="30" spans="1:4" x14ac:dyDescent="0.25">
      <c r="A30" s="10"/>
      <c r="B30" s="31" t="s">
        <v>449</v>
      </c>
      <c r="C30" s="31" t="s">
        <v>12</v>
      </c>
      <c r="D30" s="31">
        <v>579</v>
      </c>
    </row>
    <row r="31" spans="1:4" x14ac:dyDescent="0.25">
      <c r="A31" s="10"/>
      <c r="B31" s="29" t="s">
        <v>450</v>
      </c>
      <c r="C31" s="29" t="s">
        <v>52</v>
      </c>
      <c r="D31" s="29">
        <v>228</v>
      </c>
    </row>
    <row r="32" spans="1:4" x14ac:dyDescent="0.25">
      <c r="A32" s="10"/>
      <c r="B32" s="31" t="s">
        <v>451</v>
      </c>
      <c r="C32" s="31" t="s">
        <v>12</v>
      </c>
      <c r="D32" s="31">
        <v>979</v>
      </c>
    </row>
    <row r="33" spans="1:4" x14ac:dyDescent="0.25">
      <c r="A33" s="10"/>
      <c r="B33" s="29" t="s">
        <v>452</v>
      </c>
      <c r="C33" s="29" t="s">
        <v>587</v>
      </c>
      <c r="D33" s="29">
        <v>933</v>
      </c>
    </row>
    <row r="34" spans="1:4" x14ac:dyDescent="0.25">
      <c r="A34" s="10"/>
      <c r="B34" s="31" t="s">
        <v>453</v>
      </c>
      <c r="C34" s="31" t="s">
        <v>12</v>
      </c>
      <c r="D34" s="31">
        <v>129</v>
      </c>
    </row>
    <row r="35" spans="1:4" x14ac:dyDescent="0.25">
      <c r="A35" s="10"/>
      <c r="B35" s="29" t="s">
        <v>454</v>
      </c>
      <c r="C35" s="29" t="s">
        <v>587</v>
      </c>
      <c r="D35" s="29">
        <v>712</v>
      </c>
    </row>
    <row r="36" spans="1:4" x14ac:dyDescent="0.25">
      <c r="A36" s="10"/>
      <c r="B36" s="31" t="s">
        <v>455</v>
      </c>
      <c r="C36" s="31" t="s">
        <v>12</v>
      </c>
      <c r="D36" s="31">
        <v>784</v>
      </c>
    </row>
    <row r="37" spans="1:4" x14ac:dyDescent="0.25">
      <c r="A37" s="10"/>
      <c r="B37" s="29" t="s">
        <v>456</v>
      </c>
      <c r="C37" s="29" t="s">
        <v>587</v>
      </c>
      <c r="D37" s="29">
        <v>511</v>
      </c>
    </row>
    <row r="38" spans="1:4" x14ac:dyDescent="0.25">
      <c r="A38" s="10"/>
      <c r="B38" s="31" t="s">
        <v>457</v>
      </c>
      <c r="C38" s="31" t="s">
        <v>13</v>
      </c>
      <c r="D38" s="31">
        <v>459</v>
      </c>
    </row>
    <row r="39" spans="1:4" x14ac:dyDescent="0.25">
      <c r="A39" s="10"/>
      <c r="B39" s="29" t="s">
        <v>458</v>
      </c>
      <c r="C39" s="29" t="s">
        <v>587</v>
      </c>
      <c r="D39" s="29">
        <v>10</v>
      </c>
    </row>
    <row r="40" spans="1:4" x14ac:dyDescent="0.25">
      <c r="A40" s="10"/>
      <c r="B40" s="31" t="s">
        <v>459</v>
      </c>
      <c r="C40" s="31" t="s">
        <v>52</v>
      </c>
      <c r="D40" s="31">
        <v>149</v>
      </c>
    </row>
    <row r="41" spans="1:4" x14ac:dyDescent="0.25">
      <c r="A41" s="10"/>
      <c r="B41" s="29" t="s">
        <v>460</v>
      </c>
      <c r="C41" s="29" t="s">
        <v>15</v>
      </c>
      <c r="D41" s="29">
        <v>29</v>
      </c>
    </row>
    <row r="42" spans="1:4" x14ac:dyDescent="0.25">
      <c r="A42" s="10"/>
      <c r="B42" s="31" t="s">
        <v>461</v>
      </c>
      <c r="C42" s="31" t="s">
        <v>13</v>
      </c>
      <c r="D42" s="31">
        <v>63</v>
      </c>
    </row>
    <row r="43" spans="1:4" x14ac:dyDescent="0.25">
      <c r="A43" s="10"/>
      <c r="B43" s="29" t="s">
        <v>462</v>
      </c>
      <c r="C43" s="29" t="s">
        <v>190</v>
      </c>
      <c r="D43" s="29">
        <v>267</v>
      </c>
    </row>
    <row r="44" spans="1:4" x14ac:dyDescent="0.25">
      <c r="A44" s="10"/>
      <c r="B44" s="31" t="s">
        <v>463</v>
      </c>
      <c r="C44" s="31" t="s">
        <v>12</v>
      </c>
      <c r="D44" s="31">
        <v>305</v>
      </c>
    </row>
    <row r="45" spans="1:4" x14ac:dyDescent="0.25">
      <c r="A45" s="10"/>
      <c r="B45" s="29" t="s">
        <v>464</v>
      </c>
      <c r="C45" s="29" t="s">
        <v>52</v>
      </c>
      <c r="D45" s="29">
        <v>407</v>
      </c>
    </row>
    <row r="46" spans="1:4" x14ac:dyDescent="0.25">
      <c r="A46" s="10"/>
      <c r="B46" s="31" t="s">
        <v>465</v>
      </c>
      <c r="C46" s="31" t="s">
        <v>52</v>
      </c>
      <c r="D46" s="31">
        <v>292</v>
      </c>
    </row>
    <row r="47" spans="1:4" x14ac:dyDescent="0.25">
      <c r="A47" s="10"/>
      <c r="B47" s="29" t="s">
        <v>466</v>
      </c>
      <c r="C47" s="29" t="s">
        <v>12</v>
      </c>
      <c r="D47" s="29">
        <v>564</v>
      </c>
    </row>
    <row r="48" spans="1:4" x14ac:dyDescent="0.25">
      <c r="A48" s="10"/>
      <c r="B48" s="31" t="s">
        <v>467</v>
      </c>
      <c r="C48" s="31" t="s">
        <v>587</v>
      </c>
      <c r="D48" s="31">
        <v>51</v>
      </c>
    </row>
    <row r="49" spans="1:4" x14ac:dyDescent="0.25">
      <c r="A49" s="10"/>
      <c r="B49" s="29" t="s">
        <v>468</v>
      </c>
      <c r="C49" s="29" t="s">
        <v>15</v>
      </c>
      <c r="D49" s="29">
        <v>241</v>
      </c>
    </row>
    <row r="50" spans="1:4" x14ac:dyDescent="0.25">
      <c r="A50" s="10"/>
      <c r="B50" s="31" t="s">
        <v>469</v>
      </c>
      <c r="C50" s="31" t="s">
        <v>15</v>
      </c>
      <c r="D50" s="31">
        <v>712</v>
      </c>
    </row>
    <row r="51" spans="1:4" x14ac:dyDescent="0.25">
      <c r="A51" s="10"/>
      <c r="B51" s="29" t="s">
        <v>470</v>
      </c>
      <c r="C51" s="29" t="s">
        <v>13</v>
      </c>
      <c r="D51" s="29">
        <v>733</v>
      </c>
    </row>
    <row r="52" spans="1:4" x14ac:dyDescent="0.25">
      <c r="A52" s="10"/>
      <c r="B52" s="31" t="s">
        <v>471</v>
      </c>
      <c r="C52" s="31" t="s">
        <v>587</v>
      </c>
      <c r="D52" s="31">
        <v>686</v>
      </c>
    </row>
    <row r="53" spans="1:4" x14ac:dyDescent="0.25">
      <c r="A53" s="10"/>
      <c r="B53" s="29" t="s">
        <v>472</v>
      </c>
      <c r="C53" s="29" t="s">
        <v>190</v>
      </c>
      <c r="D53" s="29">
        <v>505</v>
      </c>
    </row>
    <row r="54" spans="1:4" x14ac:dyDescent="0.25">
      <c r="A54" s="10"/>
      <c r="B54" s="31" t="s">
        <v>473</v>
      </c>
      <c r="C54" s="31" t="s">
        <v>12</v>
      </c>
      <c r="D54" s="31">
        <v>962</v>
      </c>
    </row>
    <row r="55" spans="1:4" x14ac:dyDescent="0.25">
      <c r="A55" s="10"/>
      <c r="B55" s="29" t="s">
        <v>474</v>
      </c>
      <c r="C55" s="29" t="s">
        <v>15</v>
      </c>
      <c r="D55" s="29">
        <v>767</v>
      </c>
    </row>
    <row r="56" spans="1:4" x14ac:dyDescent="0.25">
      <c r="A56" s="10"/>
      <c r="B56" s="31" t="s">
        <v>475</v>
      </c>
      <c r="C56" s="31" t="s">
        <v>15</v>
      </c>
      <c r="D56" s="31">
        <v>784</v>
      </c>
    </row>
    <row r="57" spans="1:4" x14ac:dyDescent="0.25">
      <c r="A57" s="10"/>
      <c r="B57" s="29" t="s">
        <v>476</v>
      </c>
      <c r="C57" s="29" t="s">
        <v>12</v>
      </c>
      <c r="D57" s="29">
        <v>10</v>
      </c>
    </row>
    <row r="58" spans="1:4" x14ac:dyDescent="0.25">
      <c r="A58" s="10"/>
      <c r="B58" s="31" t="s">
        <v>477</v>
      </c>
      <c r="C58" s="31" t="s">
        <v>12</v>
      </c>
      <c r="D58" s="31">
        <v>793</v>
      </c>
    </row>
    <row r="59" spans="1:4" x14ac:dyDescent="0.25">
      <c r="A59" s="10"/>
      <c r="B59" s="29" t="s">
        <v>478</v>
      </c>
      <c r="C59" s="29" t="s">
        <v>190</v>
      </c>
      <c r="D59" s="29">
        <v>998</v>
      </c>
    </row>
    <row r="60" spans="1:4" x14ac:dyDescent="0.25">
      <c r="A60" s="10"/>
      <c r="B60" s="31" t="s">
        <v>479</v>
      </c>
      <c r="C60" s="31" t="s">
        <v>15</v>
      </c>
      <c r="D60" s="31">
        <v>621</v>
      </c>
    </row>
    <row r="61" spans="1:4" x14ac:dyDescent="0.25">
      <c r="A61" s="10"/>
      <c r="B61" s="29" t="s">
        <v>480</v>
      </c>
      <c r="C61" s="29" t="s">
        <v>190</v>
      </c>
      <c r="D61" s="29">
        <v>780</v>
      </c>
    </row>
    <row r="62" spans="1:4" x14ac:dyDescent="0.25">
      <c r="A62" s="10"/>
      <c r="B62" s="31" t="s">
        <v>481</v>
      </c>
      <c r="C62" s="31" t="s">
        <v>190</v>
      </c>
      <c r="D62" s="31">
        <v>2</v>
      </c>
    </row>
    <row r="63" spans="1:4" x14ac:dyDescent="0.25">
      <c r="A63" s="10"/>
      <c r="B63" s="29" t="s">
        <v>482</v>
      </c>
      <c r="C63" s="29" t="s">
        <v>12</v>
      </c>
      <c r="D63" s="29">
        <v>693</v>
      </c>
    </row>
    <row r="64" spans="1:4" x14ac:dyDescent="0.25">
      <c r="A64" s="10"/>
      <c r="B64" s="31" t="s">
        <v>483</v>
      </c>
      <c r="C64" s="31" t="s">
        <v>190</v>
      </c>
      <c r="D64" s="31">
        <v>165</v>
      </c>
    </row>
    <row r="65" spans="1:4" x14ac:dyDescent="0.25">
      <c r="A65" s="10"/>
      <c r="B65" s="29" t="s">
        <v>484</v>
      </c>
      <c r="C65" s="29" t="s">
        <v>15</v>
      </c>
      <c r="D65" s="29">
        <v>753</v>
      </c>
    </row>
    <row r="66" spans="1:4" x14ac:dyDescent="0.25">
      <c r="A66" s="10"/>
      <c r="B66" s="31" t="s">
        <v>485</v>
      </c>
      <c r="C66" s="31" t="s">
        <v>52</v>
      </c>
      <c r="D66" s="31">
        <v>495</v>
      </c>
    </row>
    <row r="67" spans="1:4" x14ac:dyDescent="0.25">
      <c r="A67" s="10"/>
      <c r="B67" s="29" t="s">
        <v>486</v>
      </c>
      <c r="C67" s="29" t="s">
        <v>12</v>
      </c>
      <c r="D67" s="29">
        <v>765</v>
      </c>
    </row>
    <row r="68" spans="1:4" x14ac:dyDescent="0.25">
      <c r="A68" s="10"/>
      <c r="B68" s="31" t="s">
        <v>487</v>
      </c>
      <c r="C68" s="31" t="s">
        <v>190</v>
      </c>
      <c r="D68" s="31">
        <v>726</v>
      </c>
    </row>
    <row r="69" spans="1:4" x14ac:dyDescent="0.25">
      <c r="A69" s="10"/>
      <c r="B69" s="29" t="s">
        <v>488</v>
      </c>
      <c r="C69" s="29" t="s">
        <v>587</v>
      </c>
      <c r="D69" s="29">
        <v>555</v>
      </c>
    </row>
    <row r="70" spans="1:4" x14ac:dyDescent="0.25">
      <c r="A70" s="10"/>
      <c r="B70" s="31" t="s">
        <v>489</v>
      </c>
      <c r="C70" s="31" t="s">
        <v>15</v>
      </c>
      <c r="D70" s="31">
        <v>844</v>
      </c>
    </row>
    <row r="71" spans="1:4" x14ac:dyDescent="0.25">
      <c r="A71" s="10"/>
      <c r="B71" s="29" t="s">
        <v>490</v>
      </c>
      <c r="C71" s="29" t="s">
        <v>12</v>
      </c>
      <c r="D71" s="29">
        <v>620</v>
      </c>
    </row>
    <row r="72" spans="1:4" x14ac:dyDescent="0.25">
      <c r="A72" s="10"/>
      <c r="B72" s="31" t="s">
        <v>491</v>
      </c>
      <c r="C72" s="31" t="s">
        <v>13</v>
      </c>
      <c r="D72" s="31">
        <v>541</v>
      </c>
    </row>
    <row r="73" spans="1:4" x14ac:dyDescent="0.25">
      <c r="A73" s="10"/>
      <c r="B73" s="29" t="s">
        <v>492</v>
      </c>
      <c r="C73" s="29" t="s">
        <v>13</v>
      </c>
      <c r="D73" s="29">
        <v>725</v>
      </c>
    </row>
    <row r="74" spans="1:4" x14ac:dyDescent="0.25">
      <c r="A74" s="10"/>
      <c r="B74" s="31" t="s">
        <v>493</v>
      </c>
      <c r="C74" s="31" t="s">
        <v>12</v>
      </c>
      <c r="D74" s="31">
        <v>777</v>
      </c>
    </row>
    <row r="75" spans="1:4" x14ac:dyDescent="0.25">
      <c r="A75" s="10"/>
      <c r="B75" s="29" t="s">
        <v>494</v>
      </c>
      <c r="C75" s="29" t="s">
        <v>190</v>
      </c>
      <c r="D75" s="29">
        <v>325</v>
      </c>
    </row>
    <row r="76" spans="1:4" x14ac:dyDescent="0.25">
      <c r="A76" s="10"/>
      <c r="B76" s="31" t="s">
        <v>495</v>
      </c>
      <c r="C76" s="31" t="s">
        <v>13</v>
      </c>
      <c r="D76" s="31">
        <v>776</v>
      </c>
    </row>
    <row r="77" spans="1:4" x14ac:dyDescent="0.25">
      <c r="A77" s="10"/>
      <c r="B77" s="29" t="s">
        <v>496</v>
      </c>
      <c r="C77" s="29" t="s">
        <v>587</v>
      </c>
      <c r="D77" s="29">
        <v>993</v>
      </c>
    </row>
    <row r="78" spans="1:4" x14ac:dyDescent="0.25">
      <c r="A78" s="10"/>
      <c r="B78" s="31" t="s">
        <v>497</v>
      </c>
      <c r="C78" s="31" t="s">
        <v>15</v>
      </c>
      <c r="D78" s="31">
        <v>134</v>
      </c>
    </row>
    <row r="79" spans="1:4" x14ac:dyDescent="0.25">
      <c r="A79" s="10"/>
      <c r="B79" s="29" t="s">
        <v>498</v>
      </c>
      <c r="C79" s="29" t="s">
        <v>12</v>
      </c>
      <c r="D79" s="29">
        <v>141</v>
      </c>
    </row>
    <row r="80" spans="1:4" x14ac:dyDescent="0.25">
      <c r="A80" s="10"/>
      <c r="B80" s="31" t="s">
        <v>499</v>
      </c>
      <c r="C80" s="31" t="s">
        <v>13</v>
      </c>
      <c r="D80" s="31">
        <v>397</v>
      </c>
    </row>
    <row r="81" spans="1:4" x14ac:dyDescent="0.25">
      <c r="A81" s="10"/>
      <c r="B81" s="29" t="s">
        <v>500</v>
      </c>
      <c r="C81" s="29" t="s">
        <v>52</v>
      </c>
      <c r="D81" s="29">
        <v>355</v>
      </c>
    </row>
    <row r="82" spans="1:4" x14ac:dyDescent="0.25">
      <c r="A82" s="10"/>
      <c r="B82" s="31" t="s">
        <v>501</v>
      </c>
      <c r="C82" s="31" t="s">
        <v>12</v>
      </c>
      <c r="D82" s="31">
        <v>682</v>
      </c>
    </row>
    <row r="83" spans="1:4" x14ac:dyDescent="0.25">
      <c r="A83" s="10"/>
      <c r="B83" s="29" t="s">
        <v>502</v>
      </c>
      <c r="C83" s="29" t="s">
        <v>12</v>
      </c>
      <c r="D83" s="29">
        <v>65</v>
      </c>
    </row>
    <row r="84" spans="1:4" x14ac:dyDescent="0.25">
      <c r="A84" s="10"/>
      <c r="B84" s="31" t="s">
        <v>503</v>
      </c>
      <c r="C84" s="31" t="s">
        <v>587</v>
      </c>
      <c r="D84" s="31">
        <v>324</v>
      </c>
    </row>
    <row r="85" spans="1:4" x14ac:dyDescent="0.25">
      <c r="A85" s="10"/>
      <c r="B85" s="29" t="s">
        <v>504</v>
      </c>
      <c r="C85" s="29" t="s">
        <v>587</v>
      </c>
      <c r="D85" s="29">
        <v>426</v>
      </c>
    </row>
    <row r="86" spans="1:4" x14ac:dyDescent="0.25">
      <c r="A86" s="10"/>
      <c r="B86" s="31" t="s">
        <v>505</v>
      </c>
      <c r="C86" s="31" t="s">
        <v>13</v>
      </c>
      <c r="D86" s="31">
        <v>688</v>
      </c>
    </row>
    <row r="87" spans="1:4" x14ac:dyDescent="0.25">
      <c r="A87" s="10"/>
      <c r="B87" s="29" t="s">
        <v>506</v>
      </c>
      <c r="C87" s="29" t="s">
        <v>13</v>
      </c>
      <c r="D87" s="29">
        <v>902</v>
      </c>
    </row>
    <row r="88" spans="1:4" x14ac:dyDescent="0.25">
      <c r="A88" s="10"/>
      <c r="B88" s="31" t="s">
        <v>507</v>
      </c>
      <c r="C88" s="31" t="s">
        <v>52</v>
      </c>
      <c r="D88" s="31">
        <v>378</v>
      </c>
    </row>
    <row r="89" spans="1:4" x14ac:dyDescent="0.25">
      <c r="A89" s="10"/>
      <c r="B89" s="29" t="s">
        <v>508</v>
      </c>
      <c r="C89" s="29" t="s">
        <v>190</v>
      </c>
      <c r="D89" s="29">
        <v>650</v>
      </c>
    </row>
    <row r="90" spans="1:4" x14ac:dyDescent="0.25">
      <c r="A90" s="10"/>
      <c r="B90" s="31" t="s">
        <v>509</v>
      </c>
      <c r="C90" s="31" t="s">
        <v>15</v>
      </c>
      <c r="D90" s="31">
        <v>673</v>
      </c>
    </row>
    <row r="91" spans="1:4" x14ac:dyDescent="0.25">
      <c r="A91" s="10"/>
      <c r="B91" s="29" t="s">
        <v>510</v>
      </c>
      <c r="C91" s="29" t="s">
        <v>52</v>
      </c>
      <c r="D91" s="29">
        <v>435</v>
      </c>
    </row>
    <row r="92" spans="1:4" x14ac:dyDescent="0.25">
      <c r="A92" s="10"/>
      <c r="B92" s="31" t="s">
        <v>511</v>
      </c>
      <c r="C92" s="31" t="s">
        <v>587</v>
      </c>
      <c r="D92" s="31">
        <v>459</v>
      </c>
    </row>
    <row r="93" spans="1:4" x14ac:dyDescent="0.25">
      <c r="A93" s="10"/>
      <c r="B93" s="29" t="s">
        <v>512</v>
      </c>
      <c r="C93" s="29" t="s">
        <v>587</v>
      </c>
      <c r="D93" s="29">
        <v>146</v>
      </c>
    </row>
    <row r="94" spans="1:4" x14ac:dyDescent="0.25">
      <c r="A94" s="10"/>
      <c r="B94" s="31" t="s">
        <v>513</v>
      </c>
      <c r="C94" s="31" t="s">
        <v>52</v>
      </c>
      <c r="D94" s="31">
        <v>513</v>
      </c>
    </row>
    <row r="95" spans="1:4" x14ac:dyDescent="0.25">
      <c r="A95" s="10"/>
      <c r="B95" s="29" t="s">
        <v>514</v>
      </c>
      <c r="C95" s="29" t="s">
        <v>12</v>
      </c>
      <c r="D95" s="29">
        <v>75</v>
      </c>
    </row>
    <row r="96" spans="1:4" x14ac:dyDescent="0.25">
      <c r="A96" s="10"/>
      <c r="B96" s="31" t="s">
        <v>515</v>
      </c>
      <c r="C96" s="31" t="s">
        <v>587</v>
      </c>
      <c r="D96" s="31">
        <v>940</v>
      </c>
    </row>
    <row r="97" spans="1:4" x14ac:dyDescent="0.25">
      <c r="A97" s="10"/>
      <c r="B97" s="29" t="s">
        <v>516</v>
      </c>
      <c r="C97" s="29" t="s">
        <v>13</v>
      </c>
      <c r="D97" s="29">
        <v>953</v>
      </c>
    </row>
    <row r="98" spans="1:4" x14ac:dyDescent="0.25">
      <c r="A98" s="10"/>
      <c r="B98" s="31" t="s">
        <v>517</v>
      </c>
      <c r="C98" s="31" t="s">
        <v>190</v>
      </c>
      <c r="D98" s="31">
        <v>496</v>
      </c>
    </row>
    <row r="99" spans="1:4" x14ac:dyDescent="0.25">
      <c r="A99" s="10"/>
      <c r="B99" s="29" t="s">
        <v>518</v>
      </c>
      <c r="C99" s="29" t="s">
        <v>52</v>
      </c>
      <c r="D99" s="29">
        <v>394</v>
      </c>
    </row>
    <row r="100" spans="1:4" x14ac:dyDescent="0.25">
      <c r="A100" s="10"/>
      <c r="B100" s="31" t="s">
        <v>519</v>
      </c>
      <c r="C100" s="31" t="s">
        <v>13</v>
      </c>
      <c r="D100" s="31">
        <v>730</v>
      </c>
    </row>
    <row r="101" spans="1:4" x14ac:dyDescent="0.25">
      <c r="A101" s="10"/>
      <c r="B101" s="29" t="s">
        <v>520</v>
      </c>
      <c r="C101" s="29" t="s">
        <v>190</v>
      </c>
      <c r="D101" s="29">
        <v>217</v>
      </c>
    </row>
    <row r="102" spans="1:4" x14ac:dyDescent="0.25">
      <c r="A102" s="10"/>
      <c r="B102" s="31" t="s">
        <v>521</v>
      </c>
      <c r="C102" s="31" t="s">
        <v>52</v>
      </c>
      <c r="D102" s="31">
        <v>909</v>
      </c>
    </row>
    <row r="103" spans="1:4" x14ac:dyDescent="0.25">
      <c r="A103" s="10"/>
      <c r="B103" s="29" t="s">
        <v>522</v>
      </c>
      <c r="C103" s="29" t="s">
        <v>52</v>
      </c>
      <c r="D103" s="29">
        <v>775</v>
      </c>
    </row>
    <row r="104" spans="1:4" x14ac:dyDescent="0.25">
      <c r="A104" s="10"/>
      <c r="B104" s="31" t="s">
        <v>523</v>
      </c>
      <c r="C104" s="31" t="s">
        <v>15</v>
      </c>
      <c r="D104" s="31">
        <v>441</v>
      </c>
    </row>
    <row r="105" spans="1:4" x14ac:dyDescent="0.25">
      <c r="A105" s="10"/>
      <c r="B105" s="29" t="s">
        <v>524</v>
      </c>
      <c r="C105" s="29" t="s">
        <v>52</v>
      </c>
      <c r="D105" s="29">
        <v>675</v>
      </c>
    </row>
    <row r="106" spans="1:4" x14ac:dyDescent="0.25">
      <c r="A106" s="10"/>
      <c r="B106" s="31" t="s">
        <v>525</v>
      </c>
      <c r="C106" s="31" t="s">
        <v>15</v>
      </c>
      <c r="D106" s="31">
        <v>544</v>
      </c>
    </row>
    <row r="107" spans="1:4" x14ac:dyDescent="0.25">
      <c r="A107" s="10"/>
      <c r="B107" s="29" t="s">
        <v>526</v>
      </c>
      <c r="C107" s="29" t="s">
        <v>52</v>
      </c>
      <c r="D107" s="29">
        <v>447</v>
      </c>
    </row>
    <row r="108" spans="1:4" x14ac:dyDescent="0.25">
      <c r="A108" s="10"/>
      <c r="B108" s="31" t="s">
        <v>527</v>
      </c>
      <c r="C108" s="31" t="s">
        <v>587</v>
      </c>
      <c r="D108" s="31">
        <v>223</v>
      </c>
    </row>
    <row r="109" spans="1:4" x14ac:dyDescent="0.25">
      <c r="A109" s="10"/>
      <c r="B109" s="29" t="s">
        <v>528</v>
      </c>
      <c r="C109" s="29" t="s">
        <v>587</v>
      </c>
      <c r="D109" s="29">
        <v>247</v>
      </c>
    </row>
    <row r="110" spans="1:4" x14ac:dyDescent="0.25">
      <c r="A110" s="10"/>
      <c r="B110" s="31" t="s">
        <v>529</v>
      </c>
      <c r="C110" s="31" t="s">
        <v>12</v>
      </c>
      <c r="D110" s="31">
        <v>289</v>
      </c>
    </row>
    <row r="111" spans="1:4" x14ac:dyDescent="0.25">
      <c r="A111" s="10"/>
      <c r="B111" s="29" t="s">
        <v>530</v>
      </c>
      <c r="C111" s="29" t="s">
        <v>12</v>
      </c>
      <c r="D111" s="29">
        <v>120</v>
      </c>
    </row>
    <row r="112" spans="1:4" x14ac:dyDescent="0.25">
      <c r="A112" s="10"/>
      <c r="B112" s="31" t="s">
        <v>531</v>
      </c>
      <c r="C112" s="31" t="s">
        <v>587</v>
      </c>
      <c r="D112" s="31">
        <v>999</v>
      </c>
    </row>
    <row r="113" spans="1:4" x14ac:dyDescent="0.25">
      <c r="A113" s="10"/>
      <c r="B113" s="29" t="s">
        <v>532</v>
      </c>
      <c r="C113" s="29" t="s">
        <v>52</v>
      </c>
      <c r="D113" s="29">
        <v>435</v>
      </c>
    </row>
    <row r="114" spans="1:4" x14ac:dyDescent="0.25">
      <c r="A114" s="10"/>
      <c r="B114" s="31" t="s">
        <v>533</v>
      </c>
      <c r="C114" s="31" t="s">
        <v>52</v>
      </c>
      <c r="D114" s="31">
        <v>237</v>
      </c>
    </row>
    <row r="115" spans="1:4" x14ac:dyDescent="0.25">
      <c r="A115" s="10"/>
      <c r="B115" s="29" t="s">
        <v>534</v>
      </c>
      <c r="C115" s="29" t="s">
        <v>12</v>
      </c>
      <c r="D115" s="29">
        <v>225</v>
      </c>
    </row>
    <row r="116" spans="1:4" x14ac:dyDescent="0.25">
      <c r="A116" s="10"/>
      <c r="B116" s="31" t="s">
        <v>535</v>
      </c>
      <c r="C116" s="31" t="s">
        <v>52</v>
      </c>
      <c r="D116" s="31">
        <v>652</v>
      </c>
    </row>
    <row r="117" spans="1:4" x14ac:dyDescent="0.25">
      <c r="A117" s="10"/>
      <c r="B117" s="29" t="s">
        <v>536</v>
      </c>
      <c r="C117" s="29" t="s">
        <v>13</v>
      </c>
      <c r="D117" s="29">
        <v>583</v>
      </c>
    </row>
    <row r="118" spans="1:4" x14ac:dyDescent="0.25">
      <c r="A118" s="10"/>
      <c r="B118" s="31" t="s">
        <v>537</v>
      </c>
      <c r="C118" s="31" t="s">
        <v>190</v>
      </c>
      <c r="D118" s="31">
        <v>570</v>
      </c>
    </row>
    <row r="119" spans="1:4" x14ac:dyDescent="0.25">
      <c r="A119" s="10"/>
      <c r="B119" s="29" t="s">
        <v>538</v>
      </c>
      <c r="C119" s="29" t="s">
        <v>15</v>
      </c>
      <c r="D119" s="29">
        <v>437</v>
      </c>
    </row>
    <row r="120" spans="1:4" x14ac:dyDescent="0.25">
      <c r="A120" s="10"/>
      <c r="B120" s="31" t="s">
        <v>539</v>
      </c>
      <c r="C120" s="31" t="s">
        <v>15</v>
      </c>
      <c r="D120" s="31">
        <v>365</v>
      </c>
    </row>
    <row r="121" spans="1:4" x14ac:dyDescent="0.25">
      <c r="A121" s="10"/>
      <c r="B121" s="29" t="s">
        <v>540</v>
      </c>
      <c r="C121" s="29" t="s">
        <v>587</v>
      </c>
      <c r="D121" s="29">
        <v>926</v>
      </c>
    </row>
    <row r="122" spans="1:4" x14ac:dyDescent="0.25">
      <c r="A122" s="10"/>
      <c r="B122" s="31" t="s">
        <v>541</v>
      </c>
      <c r="C122" s="31" t="s">
        <v>13</v>
      </c>
      <c r="D122" s="31">
        <v>165</v>
      </c>
    </row>
    <row r="123" spans="1:4" x14ac:dyDescent="0.25">
      <c r="A123" s="10"/>
      <c r="B123" s="29" t="s">
        <v>542</v>
      </c>
      <c r="C123" s="29" t="s">
        <v>190</v>
      </c>
      <c r="D123" s="29">
        <v>822</v>
      </c>
    </row>
    <row r="124" spans="1:4" x14ac:dyDescent="0.25">
      <c r="A124" s="10"/>
      <c r="B124" s="31" t="s">
        <v>543</v>
      </c>
      <c r="C124" s="31" t="s">
        <v>15</v>
      </c>
      <c r="D124" s="31">
        <v>785</v>
      </c>
    </row>
    <row r="125" spans="1:4" x14ac:dyDescent="0.25">
      <c r="A125" s="10"/>
      <c r="B125" s="29" t="s">
        <v>544</v>
      </c>
      <c r="C125" s="29" t="s">
        <v>13</v>
      </c>
      <c r="D125" s="29">
        <v>705</v>
      </c>
    </row>
    <row r="126" spans="1:4" x14ac:dyDescent="0.25">
      <c r="A126" s="10"/>
      <c r="B126" s="31" t="s">
        <v>545</v>
      </c>
      <c r="C126" s="31" t="s">
        <v>587</v>
      </c>
      <c r="D126" s="31">
        <v>62</v>
      </c>
    </row>
    <row r="127" spans="1:4" x14ac:dyDescent="0.25">
      <c r="A127" s="10"/>
      <c r="B127" s="29" t="s">
        <v>546</v>
      </c>
      <c r="C127" s="29" t="s">
        <v>52</v>
      </c>
      <c r="D127" s="29">
        <v>612</v>
      </c>
    </row>
    <row r="128" spans="1:4" x14ac:dyDescent="0.25">
      <c r="A128" s="10"/>
      <c r="B128" s="31" t="s">
        <v>547</v>
      </c>
      <c r="C128" s="31" t="s">
        <v>15</v>
      </c>
      <c r="D128" s="31">
        <v>629</v>
      </c>
    </row>
    <row r="129" spans="1:4" x14ac:dyDescent="0.25">
      <c r="A129" s="10"/>
      <c r="B129" s="29" t="s">
        <v>548</v>
      </c>
      <c r="C129" s="29" t="s">
        <v>13</v>
      </c>
      <c r="D129" s="29">
        <v>530</v>
      </c>
    </row>
    <row r="130" spans="1:4" x14ac:dyDescent="0.25">
      <c r="A130" s="10"/>
      <c r="B130" s="31" t="s">
        <v>549</v>
      </c>
      <c r="C130" s="31" t="s">
        <v>12</v>
      </c>
      <c r="D130" s="31">
        <v>186</v>
      </c>
    </row>
    <row r="131" spans="1:4" x14ac:dyDescent="0.25">
      <c r="A131" s="10"/>
      <c r="B131" s="29" t="s">
        <v>550</v>
      </c>
      <c r="C131" s="29" t="s">
        <v>15</v>
      </c>
      <c r="D131" s="29">
        <v>126</v>
      </c>
    </row>
    <row r="132" spans="1:4" x14ac:dyDescent="0.25">
      <c r="A132" s="10"/>
      <c r="B132" s="31" t="s">
        <v>551</v>
      </c>
      <c r="C132" s="31" t="s">
        <v>587</v>
      </c>
      <c r="D132" s="31">
        <v>286</v>
      </c>
    </row>
    <row r="133" spans="1:4" x14ac:dyDescent="0.25">
      <c r="A133" s="10"/>
      <c r="B133" s="29" t="s">
        <v>552</v>
      </c>
      <c r="C133" s="29" t="s">
        <v>52</v>
      </c>
      <c r="D133" s="29">
        <v>991</v>
      </c>
    </row>
    <row r="134" spans="1:4" x14ac:dyDescent="0.25">
      <c r="A134" s="10"/>
      <c r="B134" s="31" t="s">
        <v>553</v>
      </c>
      <c r="C134" s="31" t="s">
        <v>587</v>
      </c>
      <c r="D134" s="31">
        <v>853</v>
      </c>
    </row>
    <row r="135" spans="1:4" x14ac:dyDescent="0.25">
      <c r="A135" s="10"/>
      <c r="B135" s="29" t="s">
        <v>554</v>
      </c>
      <c r="C135" s="29" t="s">
        <v>52</v>
      </c>
      <c r="D135" s="29">
        <v>252</v>
      </c>
    </row>
    <row r="136" spans="1:4" x14ac:dyDescent="0.25">
      <c r="A136" s="10"/>
      <c r="B136" s="31" t="s">
        <v>555</v>
      </c>
      <c r="C136" s="31" t="s">
        <v>13</v>
      </c>
      <c r="D136" s="31">
        <v>910</v>
      </c>
    </row>
    <row r="137" spans="1:4" x14ac:dyDescent="0.25">
      <c r="A137" s="10"/>
      <c r="B137" s="29" t="s">
        <v>556</v>
      </c>
      <c r="C137" s="29" t="s">
        <v>13</v>
      </c>
      <c r="D137" s="29">
        <v>97</v>
      </c>
    </row>
    <row r="138" spans="1:4" x14ac:dyDescent="0.25">
      <c r="A138" s="10"/>
      <c r="B138" s="31" t="s">
        <v>557</v>
      </c>
      <c r="C138" s="31" t="s">
        <v>12</v>
      </c>
      <c r="D138" s="31">
        <v>962</v>
      </c>
    </row>
    <row r="139" spans="1:4" x14ac:dyDescent="0.25">
      <c r="A139" s="10"/>
      <c r="B139" s="29" t="s">
        <v>558</v>
      </c>
      <c r="C139" s="29" t="s">
        <v>52</v>
      </c>
      <c r="D139" s="29">
        <v>150</v>
      </c>
    </row>
    <row r="140" spans="1:4" x14ac:dyDescent="0.25">
      <c r="A140" s="10"/>
      <c r="B140" s="31" t="s">
        <v>559</v>
      </c>
      <c r="C140" s="31" t="s">
        <v>13</v>
      </c>
      <c r="D140" s="31">
        <v>415</v>
      </c>
    </row>
    <row r="141" spans="1:4" x14ac:dyDescent="0.25">
      <c r="A141" s="10"/>
      <c r="B141" s="29" t="s">
        <v>560</v>
      </c>
      <c r="C141" s="29" t="s">
        <v>52</v>
      </c>
      <c r="D141" s="29">
        <v>198</v>
      </c>
    </row>
    <row r="142" spans="1:4" x14ac:dyDescent="0.25">
      <c r="A142" s="10"/>
      <c r="B142" s="31" t="s">
        <v>561</v>
      </c>
      <c r="C142" s="31" t="s">
        <v>190</v>
      </c>
      <c r="D142" s="31">
        <v>410</v>
      </c>
    </row>
    <row r="143" spans="1:4" x14ac:dyDescent="0.25">
      <c r="A143" s="10"/>
      <c r="B143" s="29" t="s">
        <v>562</v>
      </c>
      <c r="C143" s="29" t="s">
        <v>15</v>
      </c>
      <c r="D143" s="29">
        <v>796</v>
      </c>
    </row>
    <row r="144" spans="1:4" x14ac:dyDescent="0.25">
      <c r="A144" s="10"/>
      <c r="B144" s="31" t="s">
        <v>563</v>
      </c>
      <c r="C144" s="31" t="s">
        <v>13</v>
      </c>
      <c r="D144" s="31">
        <v>419</v>
      </c>
    </row>
    <row r="145" spans="1:4" x14ac:dyDescent="0.25">
      <c r="A145" s="10"/>
      <c r="B145" s="29" t="s">
        <v>564</v>
      </c>
      <c r="C145" s="29" t="s">
        <v>190</v>
      </c>
      <c r="D145" s="29">
        <v>286</v>
      </c>
    </row>
    <row r="146" spans="1:4" x14ac:dyDescent="0.25">
      <c r="A146" s="10"/>
      <c r="B146" s="31" t="s">
        <v>565</v>
      </c>
      <c r="C146" s="31" t="s">
        <v>12</v>
      </c>
      <c r="D146" s="31">
        <v>644</v>
      </c>
    </row>
    <row r="147" spans="1:4" x14ac:dyDescent="0.25">
      <c r="A147" s="10"/>
      <c r="B147" s="29" t="s">
        <v>566</v>
      </c>
      <c r="C147" s="29" t="s">
        <v>12</v>
      </c>
      <c r="D147" s="29">
        <v>613</v>
      </c>
    </row>
    <row r="148" spans="1:4" x14ac:dyDescent="0.25">
      <c r="A148" s="10"/>
      <c r="B148" s="31" t="s">
        <v>567</v>
      </c>
      <c r="C148" s="31" t="s">
        <v>13</v>
      </c>
      <c r="D148" s="31">
        <v>14</v>
      </c>
    </row>
    <row r="149" spans="1:4" x14ac:dyDescent="0.25">
      <c r="A149" s="10"/>
      <c r="B149" s="29" t="s">
        <v>568</v>
      </c>
      <c r="C149" s="29" t="s">
        <v>52</v>
      </c>
      <c r="D149" s="29">
        <v>174</v>
      </c>
    </row>
    <row r="150" spans="1:4" x14ac:dyDescent="0.25">
      <c r="A150" s="10"/>
      <c r="B150" s="31" t="s">
        <v>569</v>
      </c>
      <c r="C150" s="31" t="s">
        <v>587</v>
      </c>
      <c r="D150" s="31">
        <v>751</v>
      </c>
    </row>
    <row r="151" spans="1:4" x14ac:dyDescent="0.25">
      <c r="A151" s="10"/>
      <c r="B151" s="30" t="s">
        <v>570</v>
      </c>
      <c r="C151" s="30" t="s">
        <v>15</v>
      </c>
      <c r="D151" s="30">
        <v>204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3C8F8-549B-4127-8003-D0E6AD89265F}">
  <dimension ref="A2:C34"/>
  <sheetViews>
    <sheetView workbookViewId="0">
      <selection activeCell="M28" sqref="M28"/>
    </sheetView>
  </sheetViews>
  <sheetFormatPr defaultRowHeight="15" x14ac:dyDescent="0.25"/>
  <cols>
    <col min="1" max="1" width="13.140625" bestFit="1" customWidth="1"/>
    <col min="2" max="2" width="14.28515625" bestFit="1" customWidth="1"/>
    <col min="3" max="3" width="19.85546875" bestFit="1" customWidth="1"/>
    <col min="4" max="4" width="5" bestFit="1" customWidth="1"/>
    <col min="5" max="5" width="5.85546875" bestFit="1" customWidth="1"/>
    <col min="6" max="6" width="8.42578125" bestFit="1" customWidth="1"/>
    <col min="7" max="7" width="10.85546875" bestFit="1" customWidth="1"/>
    <col min="8" max="8" width="11.28515625" bestFit="1" customWidth="1"/>
  </cols>
  <sheetData>
    <row r="2" spans="1:3" x14ac:dyDescent="0.25">
      <c r="A2" s="22" t="s">
        <v>0</v>
      </c>
      <c r="B2" t="s">
        <v>595</v>
      </c>
    </row>
    <row r="4" spans="1:3" x14ac:dyDescent="0.25">
      <c r="A4" s="22" t="s">
        <v>571</v>
      </c>
      <c r="B4" t="s">
        <v>596</v>
      </c>
      <c r="C4" t="s">
        <v>597</v>
      </c>
    </row>
    <row r="5" spans="1:3" x14ac:dyDescent="0.25">
      <c r="A5" s="23">
        <v>1</v>
      </c>
      <c r="B5" s="11">
        <v>3441</v>
      </c>
      <c r="C5" s="11">
        <v>430.125</v>
      </c>
    </row>
    <row r="6" spans="1:3" x14ac:dyDescent="0.25">
      <c r="A6" s="23">
        <v>2</v>
      </c>
      <c r="B6" s="11">
        <v>972</v>
      </c>
      <c r="C6" s="11">
        <v>324</v>
      </c>
    </row>
    <row r="7" spans="1:3" x14ac:dyDescent="0.25">
      <c r="A7" s="23">
        <v>3</v>
      </c>
      <c r="B7" s="11">
        <v>2839</v>
      </c>
      <c r="C7" s="11">
        <v>473.16666666666669</v>
      </c>
    </row>
    <row r="8" spans="1:3" x14ac:dyDescent="0.25">
      <c r="A8" s="23">
        <v>4</v>
      </c>
      <c r="B8" s="11">
        <v>1297</v>
      </c>
      <c r="C8" s="11">
        <v>324.25</v>
      </c>
    </row>
    <row r="9" spans="1:3" x14ac:dyDescent="0.25">
      <c r="A9" s="23">
        <v>5</v>
      </c>
      <c r="B9" s="11">
        <v>3077</v>
      </c>
      <c r="C9" s="11">
        <v>615.4</v>
      </c>
    </row>
    <row r="10" spans="1:3" x14ac:dyDescent="0.25">
      <c r="A10" s="23">
        <v>6</v>
      </c>
      <c r="B10" s="11">
        <v>2303</v>
      </c>
      <c r="C10" s="11">
        <v>767.66666666666663</v>
      </c>
    </row>
    <row r="11" spans="1:3" x14ac:dyDescent="0.25">
      <c r="A11" s="23">
        <v>7</v>
      </c>
      <c r="B11" s="11">
        <v>935</v>
      </c>
      <c r="C11" s="11">
        <v>467.5</v>
      </c>
    </row>
    <row r="12" spans="1:3" x14ac:dyDescent="0.25">
      <c r="A12" s="23">
        <v>8</v>
      </c>
      <c r="B12" s="11">
        <v>2838</v>
      </c>
      <c r="C12" s="11">
        <v>473</v>
      </c>
    </row>
    <row r="13" spans="1:3" x14ac:dyDescent="0.25">
      <c r="A13" s="23">
        <v>9</v>
      </c>
      <c r="B13" s="11">
        <v>5490</v>
      </c>
      <c r="C13" s="11">
        <v>784.28571428571433</v>
      </c>
    </row>
    <row r="14" spans="1:3" x14ac:dyDescent="0.25">
      <c r="A14" s="23">
        <v>11</v>
      </c>
      <c r="B14" s="11">
        <v>1755</v>
      </c>
      <c r="C14" s="11">
        <v>351</v>
      </c>
    </row>
    <row r="15" spans="1:3" x14ac:dyDescent="0.25">
      <c r="A15" s="23">
        <v>12</v>
      </c>
      <c r="B15" s="11">
        <v>4404</v>
      </c>
      <c r="C15" s="11">
        <v>440.4</v>
      </c>
    </row>
    <row r="16" spans="1:3" x14ac:dyDescent="0.25">
      <c r="A16" s="23">
        <v>13</v>
      </c>
      <c r="B16" s="11">
        <v>2869</v>
      </c>
      <c r="C16" s="11">
        <v>478.16666666666669</v>
      </c>
    </row>
    <row r="17" spans="1:3" x14ac:dyDescent="0.25">
      <c r="A17" s="23">
        <v>14</v>
      </c>
      <c r="B17" s="11">
        <v>5640</v>
      </c>
      <c r="C17" s="11">
        <v>626.66666666666663</v>
      </c>
    </row>
    <row r="18" spans="1:3" x14ac:dyDescent="0.25">
      <c r="A18" s="23">
        <v>15</v>
      </c>
      <c r="B18" s="11">
        <v>3521</v>
      </c>
      <c r="C18" s="11">
        <v>440.125</v>
      </c>
    </row>
    <row r="19" spans="1:3" x14ac:dyDescent="0.25">
      <c r="A19" s="23">
        <v>16</v>
      </c>
      <c r="B19" s="11">
        <v>2795</v>
      </c>
      <c r="C19" s="11">
        <v>559</v>
      </c>
    </row>
    <row r="20" spans="1:3" x14ac:dyDescent="0.25">
      <c r="A20" s="23">
        <v>17</v>
      </c>
      <c r="B20" s="11">
        <v>5762</v>
      </c>
      <c r="C20" s="11">
        <v>640.22222222222217</v>
      </c>
    </row>
    <row r="21" spans="1:3" x14ac:dyDescent="0.25">
      <c r="A21" s="23">
        <v>18</v>
      </c>
      <c r="B21" s="11">
        <v>1831</v>
      </c>
      <c r="C21" s="11">
        <v>610.33333333333337</v>
      </c>
    </row>
    <row r="22" spans="1:3" x14ac:dyDescent="0.25">
      <c r="A22" s="23">
        <v>19</v>
      </c>
      <c r="B22" s="11">
        <v>2604</v>
      </c>
      <c r="C22" s="11">
        <v>520.79999999999995</v>
      </c>
    </row>
    <row r="23" spans="1:3" x14ac:dyDescent="0.25">
      <c r="A23" s="23">
        <v>20</v>
      </c>
      <c r="B23" s="11">
        <v>683</v>
      </c>
      <c r="C23" s="11">
        <v>341.5</v>
      </c>
    </row>
    <row r="24" spans="1:3" x14ac:dyDescent="0.25">
      <c r="A24" s="23">
        <v>21</v>
      </c>
      <c r="B24" s="11">
        <v>2027</v>
      </c>
      <c r="C24" s="11">
        <v>675.66666666666663</v>
      </c>
    </row>
    <row r="25" spans="1:3" x14ac:dyDescent="0.25">
      <c r="A25" s="23">
        <v>22</v>
      </c>
      <c r="B25" s="11">
        <v>2634</v>
      </c>
      <c r="C25" s="11">
        <v>526.79999999999995</v>
      </c>
    </row>
    <row r="26" spans="1:3" x14ac:dyDescent="0.25">
      <c r="A26" s="23">
        <v>23</v>
      </c>
      <c r="B26" s="11">
        <v>1526</v>
      </c>
      <c r="C26" s="11">
        <v>305.2</v>
      </c>
    </row>
    <row r="27" spans="1:3" x14ac:dyDescent="0.25">
      <c r="A27" s="23">
        <v>24</v>
      </c>
      <c r="B27" s="11">
        <v>2481</v>
      </c>
      <c r="C27" s="11">
        <v>413.5</v>
      </c>
    </row>
    <row r="28" spans="1:3" x14ac:dyDescent="0.25">
      <c r="A28" s="23">
        <v>25</v>
      </c>
      <c r="B28" s="11">
        <v>1578</v>
      </c>
      <c r="C28" s="11">
        <v>394.5</v>
      </c>
    </row>
    <row r="29" spans="1:3" x14ac:dyDescent="0.25">
      <c r="A29" s="23">
        <v>26</v>
      </c>
      <c r="B29" s="11">
        <v>3593</v>
      </c>
      <c r="C29" s="11">
        <v>598.83333333333337</v>
      </c>
    </row>
    <row r="30" spans="1:3" x14ac:dyDescent="0.25">
      <c r="A30" s="23">
        <v>27</v>
      </c>
      <c r="B30" s="11">
        <v>538</v>
      </c>
      <c r="C30" s="11">
        <v>269</v>
      </c>
    </row>
    <row r="31" spans="1:3" x14ac:dyDescent="0.25">
      <c r="A31" s="23">
        <v>28</v>
      </c>
      <c r="B31" s="11">
        <v>858</v>
      </c>
      <c r="C31" s="11">
        <v>429</v>
      </c>
    </row>
    <row r="32" spans="1:3" x14ac:dyDescent="0.25">
      <c r="A32" s="23">
        <v>29</v>
      </c>
      <c r="B32" s="11">
        <v>3166</v>
      </c>
      <c r="C32" s="11">
        <v>527.66666666666663</v>
      </c>
    </row>
    <row r="33" spans="1:3" x14ac:dyDescent="0.25">
      <c r="A33" s="23">
        <v>30</v>
      </c>
      <c r="B33" s="11">
        <v>1400</v>
      </c>
      <c r="C33" s="11">
        <v>700</v>
      </c>
    </row>
    <row r="34" spans="1:3" x14ac:dyDescent="0.25">
      <c r="A34" s="23">
        <v>31</v>
      </c>
      <c r="B34" s="11">
        <v>2118</v>
      </c>
      <c r="C34" s="11">
        <v>706</v>
      </c>
    </row>
  </sheetData>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5D3216-2380-470A-9DBA-4FF02F14DCF7}">
  <dimension ref="A1:O151"/>
  <sheetViews>
    <sheetView topLeftCell="A123" workbookViewId="0">
      <selection activeCell="M28" sqref="M28"/>
    </sheetView>
  </sheetViews>
  <sheetFormatPr defaultRowHeight="15" x14ac:dyDescent="0.25"/>
  <cols>
    <col min="2" max="2" width="10.42578125" bestFit="1" customWidth="1"/>
    <col min="4" max="4" width="11.7109375" customWidth="1"/>
    <col min="6" max="14" width="9.7109375" customWidth="1"/>
    <col min="15" max="15" width="10.7109375" customWidth="1"/>
  </cols>
  <sheetData>
    <row r="1" spans="1:15" x14ac:dyDescent="0.25">
      <c r="A1" t="s">
        <v>592</v>
      </c>
      <c r="B1" s="10" t="s">
        <v>323</v>
      </c>
      <c r="C1" t="s">
        <v>0</v>
      </c>
      <c r="D1" t="s">
        <v>10</v>
      </c>
      <c r="E1" t="s">
        <v>397</v>
      </c>
      <c r="F1" t="s">
        <v>577</v>
      </c>
      <c r="G1" t="s">
        <v>578</v>
      </c>
      <c r="H1" t="s">
        <v>579</v>
      </c>
      <c r="I1" t="s">
        <v>580</v>
      </c>
      <c r="J1" t="s">
        <v>581</v>
      </c>
      <c r="K1" t="s">
        <v>582</v>
      </c>
      <c r="L1" t="s">
        <v>583</v>
      </c>
      <c r="M1" t="s">
        <v>584</v>
      </c>
      <c r="N1" t="s">
        <v>585</v>
      </c>
      <c r="O1" t="s">
        <v>586</v>
      </c>
    </row>
    <row r="2" spans="1:15" x14ac:dyDescent="0.25">
      <c r="A2">
        <v>15</v>
      </c>
      <c r="B2" s="10">
        <v>45366</v>
      </c>
      <c r="C2" t="s">
        <v>421</v>
      </c>
      <c r="D2" t="s">
        <v>190</v>
      </c>
      <c r="E2" t="s">
        <v>419</v>
      </c>
      <c r="F2">
        <v>101</v>
      </c>
      <c r="G2">
        <v>220</v>
      </c>
      <c r="H2">
        <v>214</v>
      </c>
      <c r="I2">
        <v>714</v>
      </c>
      <c r="J2">
        <v>891</v>
      </c>
      <c r="K2">
        <v>927</v>
      </c>
      <c r="L2">
        <v>289</v>
      </c>
      <c r="M2">
        <v>155</v>
      </c>
      <c r="N2">
        <v>874</v>
      </c>
      <c r="O2">
        <v>344</v>
      </c>
    </row>
    <row r="3" spans="1:15" x14ac:dyDescent="0.25">
      <c r="A3">
        <v>7</v>
      </c>
      <c r="B3" s="10">
        <v>45419</v>
      </c>
      <c r="C3" t="s">
        <v>422</v>
      </c>
      <c r="D3" t="s">
        <v>15</v>
      </c>
      <c r="E3" t="s">
        <v>414</v>
      </c>
      <c r="F3">
        <v>189</v>
      </c>
      <c r="G3">
        <v>846</v>
      </c>
      <c r="H3">
        <v>470</v>
      </c>
      <c r="I3">
        <v>855</v>
      </c>
      <c r="J3">
        <v>199</v>
      </c>
      <c r="K3">
        <v>983</v>
      </c>
      <c r="L3">
        <v>106</v>
      </c>
      <c r="M3">
        <v>616</v>
      </c>
      <c r="N3">
        <v>338</v>
      </c>
      <c r="O3">
        <v>90</v>
      </c>
    </row>
    <row r="4" spans="1:15" x14ac:dyDescent="0.25">
      <c r="A4">
        <v>11</v>
      </c>
      <c r="B4" s="10">
        <v>45637</v>
      </c>
      <c r="C4" t="s">
        <v>423</v>
      </c>
      <c r="D4" t="s">
        <v>12</v>
      </c>
      <c r="E4" t="s">
        <v>419</v>
      </c>
      <c r="F4">
        <v>20</v>
      </c>
      <c r="G4">
        <v>325</v>
      </c>
      <c r="H4">
        <v>855</v>
      </c>
      <c r="I4">
        <v>858</v>
      </c>
      <c r="J4">
        <v>158</v>
      </c>
      <c r="K4">
        <v>687</v>
      </c>
      <c r="L4">
        <v>720</v>
      </c>
      <c r="M4">
        <v>575</v>
      </c>
      <c r="N4">
        <v>339</v>
      </c>
      <c r="O4">
        <v>960</v>
      </c>
    </row>
    <row r="5" spans="1:15" x14ac:dyDescent="0.25">
      <c r="A5">
        <v>31</v>
      </c>
      <c r="B5" s="10">
        <v>45535</v>
      </c>
      <c r="C5" t="s">
        <v>424</v>
      </c>
      <c r="D5" t="s">
        <v>587</v>
      </c>
      <c r="E5" t="s">
        <v>193</v>
      </c>
      <c r="F5">
        <v>340</v>
      </c>
      <c r="G5">
        <v>661</v>
      </c>
      <c r="H5">
        <v>786</v>
      </c>
      <c r="I5">
        <v>673</v>
      </c>
      <c r="J5">
        <v>135</v>
      </c>
      <c r="K5">
        <v>935</v>
      </c>
      <c r="L5">
        <v>309</v>
      </c>
      <c r="M5">
        <v>150</v>
      </c>
      <c r="N5">
        <v>413</v>
      </c>
      <c r="O5">
        <v>989</v>
      </c>
    </row>
    <row r="6" spans="1:15" x14ac:dyDescent="0.25">
      <c r="A6">
        <v>6</v>
      </c>
      <c r="B6" s="10">
        <v>45328</v>
      </c>
      <c r="C6" t="s">
        <v>425</v>
      </c>
      <c r="D6" t="s">
        <v>190</v>
      </c>
      <c r="E6" t="s">
        <v>411</v>
      </c>
      <c r="F6">
        <v>904</v>
      </c>
      <c r="G6">
        <v>385</v>
      </c>
      <c r="H6">
        <v>862</v>
      </c>
      <c r="I6">
        <v>994</v>
      </c>
      <c r="J6">
        <v>69</v>
      </c>
      <c r="K6">
        <v>664</v>
      </c>
      <c r="L6">
        <v>403</v>
      </c>
      <c r="M6">
        <v>902</v>
      </c>
      <c r="N6">
        <v>793</v>
      </c>
      <c r="O6">
        <v>458</v>
      </c>
    </row>
    <row r="7" spans="1:15" x14ac:dyDescent="0.25">
      <c r="A7">
        <v>14</v>
      </c>
      <c r="B7" s="10">
        <v>45610</v>
      </c>
      <c r="C7" t="s">
        <v>426</v>
      </c>
      <c r="D7" t="s">
        <v>13</v>
      </c>
      <c r="E7" t="s">
        <v>588</v>
      </c>
      <c r="F7">
        <v>300</v>
      </c>
      <c r="G7">
        <v>607</v>
      </c>
      <c r="H7">
        <v>308</v>
      </c>
      <c r="I7">
        <v>932</v>
      </c>
      <c r="J7">
        <v>214</v>
      </c>
      <c r="K7">
        <v>975</v>
      </c>
      <c r="L7">
        <v>333</v>
      </c>
      <c r="M7">
        <v>172</v>
      </c>
      <c r="N7">
        <v>2</v>
      </c>
      <c r="O7">
        <v>748</v>
      </c>
    </row>
    <row r="8" spans="1:15" x14ac:dyDescent="0.25">
      <c r="A8">
        <v>12</v>
      </c>
      <c r="B8" s="10">
        <v>45303</v>
      </c>
      <c r="C8" t="s">
        <v>427</v>
      </c>
      <c r="D8" t="s">
        <v>12</v>
      </c>
      <c r="E8" t="s">
        <v>588</v>
      </c>
      <c r="F8">
        <v>681</v>
      </c>
      <c r="G8">
        <v>896</v>
      </c>
      <c r="H8">
        <v>867</v>
      </c>
      <c r="I8">
        <v>6</v>
      </c>
      <c r="J8">
        <v>168</v>
      </c>
      <c r="K8">
        <v>16</v>
      </c>
      <c r="L8">
        <v>300</v>
      </c>
      <c r="M8">
        <v>3</v>
      </c>
      <c r="N8">
        <v>51</v>
      </c>
      <c r="O8">
        <v>731</v>
      </c>
    </row>
    <row r="9" spans="1:15" x14ac:dyDescent="0.25">
      <c r="A9">
        <v>19</v>
      </c>
      <c r="B9" s="10">
        <v>45523</v>
      </c>
      <c r="C9" t="s">
        <v>428</v>
      </c>
      <c r="D9" t="s">
        <v>587</v>
      </c>
      <c r="E9" t="s">
        <v>419</v>
      </c>
      <c r="F9">
        <v>470</v>
      </c>
      <c r="G9">
        <v>399</v>
      </c>
      <c r="H9">
        <v>17</v>
      </c>
      <c r="I9">
        <v>224</v>
      </c>
      <c r="J9">
        <v>94</v>
      </c>
      <c r="K9">
        <v>232</v>
      </c>
      <c r="L9">
        <v>129</v>
      </c>
      <c r="M9">
        <v>307</v>
      </c>
      <c r="N9">
        <v>43</v>
      </c>
      <c r="O9">
        <v>630</v>
      </c>
    </row>
    <row r="10" spans="1:15" x14ac:dyDescent="0.25">
      <c r="A10">
        <v>9</v>
      </c>
      <c r="B10" s="10">
        <v>45300</v>
      </c>
      <c r="C10" t="s">
        <v>429</v>
      </c>
      <c r="D10" t="s">
        <v>190</v>
      </c>
      <c r="E10" t="s">
        <v>411</v>
      </c>
      <c r="F10">
        <v>997</v>
      </c>
      <c r="G10">
        <v>93</v>
      </c>
      <c r="H10">
        <v>48</v>
      </c>
      <c r="I10">
        <v>897</v>
      </c>
      <c r="J10">
        <v>597</v>
      </c>
      <c r="K10">
        <v>622</v>
      </c>
      <c r="L10">
        <v>390</v>
      </c>
      <c r="M10">
        <v>387</v>
      </c>
      <c r="N10">
        <v>90</v>
      </c>
      <c r="O10">
        <v>764</v>
      </c>
    </row>
    <row r="11" spans="1:15" x14ac:dyDescent="0.25">
      <c r="A11">
        <v>18</v>
      </c>
      <c r="B11" s="10">
        <v>45461</v>
      </c>
      <c r="C11" t="s">
        <v>430</v>
      </c>
      <c r="D11" t="s">
        <v>12</v>
      </c>
      <c r="E11" t="s">
        <v>413</v>
      </c>
      <c r="F11">
        <v>890</v>
      </c>
      <c r="G11">
        <v>780</v>
      </c>
      <c r="H11">
        <v>438</v>
      </c>
      <c r="I11">
        <v>33</v>
      </c>
      <c r="J11">
        <v>785</v>
      </c>
      <c r="K11">
        <v>470</v>
      </c>
      <c r="L11">
        <v>117</v>
      </c>
      <c r="M11">
        <v>779</v>
      </c>
      <c r="N11">
        <v>834</v>
      </c>
      <c r="O11">
        <v>62</v>
      </c>
    </row>
    <row r="12" spans="1:15" x14ac:dyDescent="0.25">
      <c r="A12">
        <v>17</v>
      </c>
      <c r="B12" s="10">
        <v>45308</v>
      </c>
      <c r="C12" t="s">
        <v>431</v>
      </c>
      <c r="D12" t="s">
        <v>15</v>
      </c>
      <c r="E12" t="s">
        <v>588</v>
      </c>
      <c r="F12">
        <v>716</v>
      </c>
      <c r="G12">
        <v>727</v>
      </c>
      <c r="H12">
        <v>440</v>
      </c>
      <c r="I12">
        <v>821</v>
      </c>
      <c r="J12">
        <v>239</v>
      </c>
      <c r="K12">
        <v>760</v>
      </c>
      <c r="L12">
        <v>904</v>
      </c>
      <c r="M12">
        <v>395</v>
      </c>
      <c r="N12">
        <v>507</v>
      </c>
      <c r="O12">
        <v>493</v>
      </c>
    </row>
    <row r="13" spans="1:15" x14ac:dyDescent="0.25">
      <c r="A13">
        <v>26</v>
      </c>
      <c r="B13" s="10">
        <v>45377</v>
      </c>
      <c r="C13" t="s">
        <v>432</v>
      </c>
      <c r="D13" t="s">
        <v>15</v>
      </c>
      <c r="E13" t="s">
        <v>413</v>
      </c>
      <c r="F13">
        <v>465</v>
      </c>
      <c r="G13">
        <v>134</v>
      </c>
      <c r="H13">
        <v>203</v>
      </c>
      <c r="I13">
        <v>517</v>
      </c>
      <c r="J13">
        <v>208</v>
      </c>
      <c r="K13">
        <v>689</v>
      </c>
      <c r="L13">
        <v>834</v>
      </c>
      <c r="M13">
        <v>833</v>
      </c>
      <c r="N13">
        <v>399</v>
      </c>
      <c r="O13">
        <v>192</v>
      </c>
    </row>
    <row r="14" spans="1:15" x14ac:dyDescent="0.25">
      <c r="A14">
        <v>23</v>
      </c>
      <c r="B14" s="10">
        <v>45558</v>
      </c>
      <c r="C14" t="s">
        <v>433</v>
      </c>
      <c r="D14" t="s">
        <v>13</v>
      </c>
      <c r="E14" t="s">
        <v>193</v>
      </c>
      <c r="F14">
        <v>417</v>
      </c>
      <c r="G14">
        <v>447</v>
      </c>
      <c r="H14">
        <v>389</v>
      </c>
      <c r="I14">
        <v>174</v>
      </c>
      <c r="J14">
        <v>520</v>
      </c>
      <c r="K14">
        <v>263</v>
      </c>
      <c r="L14">
        <v>950</v>
      </c>
      <c r="M14">
        <v>186</v>
      </c>
      <c r="N14">
        <v>252</v>
      </c>
      <c r="O14">
        <v>411</v>
      </c>
    </row>
    <row r="15" spans="1:15" x14ac:dyDescent="0.25">
      <c r="A15">
        <v>15</v>
      </c>
      <c r="B15" s="10">
        <v>45641</v>
      </c>
      <c r="C15" t="s">
        <v>434</v>
      </c>
      <c r="D15" t="s">
        <v>15</v>
      </c>
      <c r="E15" t="s">
        <v>414</v>
      </c>
      <c r="F15">
        <v>72</v>
      </c>
      <c r="G15">
        <v>428</v>
      </c>
      <c r="H15">
        <v>796</v>
      </c>
      <c r="I15">
        <v>639</v>
      </c>
      <c r="J15">
        <v>675</v>
      </c>
      <c r="K15">
        <v>183</v>
      </c>
      <c r="L15">
        <v>368</v>
      </c>
      <c r="M15">
        <v>692</v>
      </c>
      <c r="N15">
        <v>899</v>
      </c>
      <c r="O15">
        <v>955</v>
      </c>
    </row>
    <row r="16" spans="1:15" x14ac:dyDescent="0.25">
      <c r="A16">
        <v>14</v>
      </c>
      <c r="B16" s="10">
        <v>45365</v>
      </c>
      <c r="C16" t="s">
        <v>435</v>
      </c>
      <c r="D16" t="s">
        <v>12</v>
      </c>
      <c r="E16" t="s">
        <v>193</v>
      </c>
      <c r="F16">
        <v>915</v>
      </c>
      <c r="G16">
        <v>490</v>
      </c>
      <c r="H16">
        <v>273</v>
      </c>
      <c r="I16">
        <v>744</v>
      </c>
      <c r="J16">
        <v>265</v>
      </c>
      <c r="K16">
        <v>454</v>
      </c>
      <c r="L16">
        <v>816</v>
      </c>
      <c r="M16">
        <v>747</v>
      </c>
      <c r="N16">
        <v>110</v>
      </c>
      <c r="O16">
        <v>923</v>
      </c>
    </row>
    <row r="17" spans="1:15" x14ac:dyDescent="0.25">
      <c r="A17">
        <v>15</v>
      </c>
      <c r="B17" s="10">
        <v>45488</v>
      </c>
      <c r="C17" t="s">
        <v>436</v>
      </c>
      <c r="D17" t="s">
        <v>190</v>
      </c>
      <c r="E17" t="s">
        <v>419</v>
      </c>
      <c r="F17">
        <v>198</v>
      </c>
      <c r="G17">
        <v>805</v>
      </c>
      <c r="H17">
        <v>20</v>
      </c>
      <c r="I17">
        <v>84</v>
      </c>
      <c r="J17">
        <v>34</v>
      </c>
      <c r="K17">
        <v>482</v>
      </c>
      <c r="L17">
        <v>670</v>
      </c>
      <c r="M17">
        <v>758</v>
      </c>
      <c r="N17">
        <v>843</v>
      </c>
      <c r="O17">
        <v>376</v>
      </c>
    </row>
    <row r="18" spans="1:15" x14ac:dyDescent="0.25">
      <c r="A18">
        <v>24</v>
      </c>
      <c r="B18" s="10">
        <v>45497</v>
      </c>
      <c r="C18" t="s">
        <v>437</v>
      </c>
      <c r="D18" t="s">
        <v>587</v>
      </c>
      <c r="E18" t="s">
        <v>411</v>
      </c>
      <c r="F18">
        <v>791</v>
      </c>
      <c r="G18">
        <v>472</v>
      </c>
      <c r="H18">
        <v>62</v>
      </c>
      <c r="I18">
        <v>692</v>
      </c>
      <c r="J18">
        <v>126</v>
      </c>
      <c r="K18">
        <v>484</v>
      </c>
      <c r="L18">
        <v>62</v>
      </c>
      <c r="M18">
        <v>51</v>
      </c>
      <c r="N18">
        <v>467</v>
      </c>
      <c r="O18">
        <v>946</v>
      </c>
    </row>
    <row r="19" spans="1:15" x14ac:dyDescent="0.25">
      <c r="A19">
        <v>3</v>
      </c>
      <c r="B19" s="10">
        <v>45629</v>
      </c>
      <c r="C19" t="s">
        <v>438</v>
      </c>
      <c r="D19" t="s">
        <v>12</v>
      </c>
      <c r="E19" t="s">
        <v>414</v>
      </c>
      <c r="F19">
        <v>11</v>
      </c>
      <c r="G19">
        <v>31</v>
      </c>
      <c r="H19">
        <v>24</v>
      </c>
      <c r="I19">
        <v>622</v>
      </c>
      <c r="J19">
        <v>597</v>
      </c>
      <c r="K19">
        <v>400</v>
      </c>
      <c r="L19">
        <v>548</v>
      </c>
      <c r="M19">
        <v>534</v>
      </c>
      <c r="N19">
        <v>820</v>
      </c>
      <c r="O19">
        <v>379</v>
      </c>
    </row>
    <row r="20" spans="1:15" x14ac:dyDescent="0.25">
      <c r="A20">
        <v>8</v>
      </c>
      <c r="B20" s="10">
        <v>45634</v>
      </c>
      <c r="C20" t="s">
        <v>439</v>
      </c>
      <c r="D20" t="s">
        <v>52</v>
      </c>
      <c r="E20" t="s">
        <v>419</v>
      </c>
      <c r="F20">
        <v>14</v>
      </c>
      <c r="G20">
        <v>91</v>
      </c>
      <c r="H20">
        <v>574</v>
      </c>
      <c r="I20">
        <v>779</v>
      </c>
      <c r="J20">
        <v>164</v>
      </c>
      <c r="K20">
        <v>448</v>
      </c>
      <c r="L20">
        <v>841</v>
      </c>
      <c r="M20">
        <v>167</v>
      </c>
      <c r="N20">
        <v>428</v>
      </c>
      <c r="O20">
        <v>15</v>
      </c>
    </row>
    <row r="21" spans="1:15" x14ac:dyDescent="0.25">
      <c r="A21">
        <v>17</v>
      </c>
      <c r="B21" s="10">
        <v>45521</v>
      </c>
      <c r="C21" t="s">
        <v>440</v>
      </c>
      <c r="D21" t="s">
        <v>587</v>
      </c>
      <c r="E21" t="s">
        <v>193</v>
      </c>
      <c r="F21">
        <v>581</v>
      </c>
      <c r="G21">
        <v>386</v>
      </c>
      <c r="H21">
        <v>734</v>
      </c>
      <c r="I21">
        <v>129</v>
      </c>
      <c r="J21">
        <v>925</v>
      </c>
      <c r="K21">
        <v>458</v>
      </c>
      <c r="L21">
        <v>826</v>
      </c>
      <c r="M21">
        <v>572</v>
      </c>
      <c r="N21">
        <v>754</v>
      </c>
      <c r="O21">
        <v>815</v>
      </c>
    </row>
    <row r="22" spans="1:15" x14ac:dyDescent="0.25">
      <c r="A22">
        <v>26</v>
      </c>
      <c r="B22" s="10">
        <v>45561</v>
      </c>
      <c r="C22" t="s">
        <v>441</v>
      </c>
      <c r="D22" t="s">
        <v>587</v>
      </c>
      <c r="E22" t="s">
        <v>588</v>
      </c>
      <c r="F22">
        <v>961</v>
      </c>
      <c r="G22">
        <v>892</v>
      </c>
      <c r="H22">
        <v>717</v>
      </c>
      <c r="I22">
        <v>276</v>
      </c>
      <c r="J22">
        <v>648</v>
      </c>
      <c r="K22">
        <v>519</v>
      </c>
      <c r="L22">
        <v>680</v>
      </c>
      <c r="M22">
        <v>809</v>
      </c>
      <c r="N22">
        <v>38</v>
      </c>
      <c r="O22">
        <v>947</v>
      </c>
    </row>
    <row r="23" spans="1:15" x14ac:dyDescent="0.25">
      <c r="A23">
        <v>12</v>
      </c>
      <c r="B23" s="10">
        <v>45608</v>
      </c>
      <c r="C23" t="s">
        <v>442</v>
      </c>
      <c r="D23" t="s">
        <v>13</v>
      </c>
      <c r="E23" t="s">
        <v>411</v>
      </c>
      <c r="F23">
        <v>239</v>
      </c>
      <c r="G23">
        <v>766</v>
      </c>
      <c r="H23">
        <v>912</v>
      </c>
      <c r="I23">
        <v>413</v>
      </c>
      <c r="J23">
        <v>157</v>
      </c>
      <c r="K23">
        <v>975</v>
      </c>
      <c r="L23">
        <v>623</v>
      </c>
      <c r="M23">
        <v>501</v>
      </c>
      <c r="N23">
        <v>608</v>
      </c>
      <c r="O23">
        <v>846</v>
      </c>
    </row>
    <row r="24" spans="1:15" x14ac:dyDescent="0.25">
      <c r="A24">
        <v>2</v>
      </c>
      <c r="B24" s="10">
        <v>45384</v>
      </c>
      <c r="C24" t="s">
        <v>443</v>
      </c>
      <c r="D24" t="s">
        <v>190</v>
      </c>
      <c r="E24" t="s">
        <v>411</v>
      </c>
      <c r="F24">
        <v>882</v>
      </c>
      <c r="G24">
        <v>673</v>
      </c>
      <c r="H24">
        <v>531</v>
      </c>
      <c r="I24">
        <v>223</v>
      </c>
      <c r="J24">
        <v>646</v>
      </c>
      <c r="K24">
        <v>961</v>
      </c>
      <c r="L24">
        <v>596</v>
      </c>
      <c r="M24">
        <v>921</v>
      </c>
      <c r="N24">
        <v>737</v>
      </c>
      <c r="O24">
        <v>463</v>
      </c>
    </row>
    <row r="25" spans="1:15" x14ac:dyDescent="0.25">
      <c r="A25">
        <v>25</v>
      </c>
      <c r="B25" s="10">
        <v>45498</v>
      </c>
      <c r="C25" t="s">
        <v>444</v>
      </c>
      <c r="D25" t="s">
        <v>15</v>
      </c>
      <c r="E25" t="s">
        <v>193</v>
      </c>
      <c r="F25">
        <v>450</v>
      </c>
      <c r="G25">
        <v>290</v>
      </c>
      <c r="H25">
        <v>462</v>
      </c>
      <c r="I25">
        <v>127</v>
      </c>
      <c r="J25">
        <v>269</v>
      </c>
      <c r="K25">
        <v>770</v>
      </c>
      <c r="L25">
        <v>699</v>
      </c>
      <c r="M25">
        <v>649</v>
      </c>
      <c r="N25">
        <v>838</v>
      </c>
      <c r="O25">
        <v>228</v>
      </c>
    </row>
    <row r="26" spans="1:15" x14ac:dyDescent="0.25">
      <c r="A26">
        <v>29</v>
      </c>
      <c r="B26" s="10">
        <v>45411</v>
      </c>
      <c r="C26" t="s">
        <v>445</v>
      </c>
      <c r="D26" t="s">
        <v>587</v>
      </c>
      <c r="E26" t="s">
        <v>411</v>
      </c>
      <c r="F26">
        <v>876</v>
      </c>
      <c r="G26">
        <v>770</v>
      </c>
      <c r="H26">
        <v>512</v>
      </c>
      <c r="I26">
        <v>287</v>
      </c>
      <c r="J26">
        <v>736</v>
      </c>
      <c r="K26">
        <v>90</v>
      </c>
      <c r="L26">
        <v>883</v>
      </c>
      <c r="M26">
        <v>355</v>
      </c>
      <c r="N26">
        <v>983</v>
      </c>
      <c r="O26">
        <v>114</v>
      </c>
    </row>
    <row r="27" spans="1:15" x14ac:dyDescent="0.25">
      <c r="A27">
        <v>14</v>
      </c>
      <c r="B27" s="10">
        <v>45487</v>
      </c>
      <c r="C27" t="s">
        <v>446</v>
      </c>
      <c r="D27" t="s">
        <v>13</v>
      </c>
      <c r="E27" t="s">
        <v>411</v>
      </c>
      <c r="F27">
        <v>873</v>
      </c>
      <c r="G27">
        <v>67</v>
      </c>
      <c r="H27">
        <v>131</v>
      </c>
      <c r="I27">
        <v>543</v>
      </c>
      <c r="J27">
        <v>125</v>
      </c>
      <c r="K27">
        <v>529</v>
      </c>
      <c r="L27">
        <v>957</v>
      </c>
      <c r="M27">
        <v>260</v>
      </c>
      <c r="N27">
        <v>115</v>
      </c>
      <c r="O27">
        <v>934</v>
      </c>
    </row>
    <row r="28" spans="1:15" x14ac:dyDescent="0.25">
      <c r="A28">
        <v>15</v>
      </c>
      <c r="B28" s="10">
        <v>45519</v>
      </c>
      <c r="C28" t="s">
        <v>447</v>
      </c>
      <c r="D28" t="s">
        <v>587</v>
      </c>
      <c r="E28" t="s">
        <v>414</v>
      </c>
      <c r="F28">
        <v>786</v>
      </c>
      <c r="G28">
        <v>842</v>
      </c>
      <c r="H28">
        <v>597</v>
      </c>
      <c r="I28">
        <v>920</v>
      </c>
      <c r="J28">
        <v>404</v>
      </c>
      <c r="K28">
        <v>227</v>
      </c>
      <c r="L28">
        <v>26</v>
      </c>
      <c r="M28">
        <v>639</v>
      </c>
      <c r="N28">
        <v>160</v>
      </c>
      <c r="O28">
        <v>138</v>
      </c>
    </row>
    <row r="29" spans="1:15" x14ac:dyDescent="0.25">
      <c r="A29">
        <v>13</v>
      </c>
      <c r="B29" s="10">
        <v>45425</v>
      </c>
      <c r="C29" t="s">
        <v>448</v>
      </c>
      <c r="D29" t="s">
        <v>587</v>
      </c>
      <c r="E29" t="s">
        <v>588</v>
      </c>
      <c r="F29">
        <v>647</v>
      </c>
      <c r="G29">
        <v>842</v>
      </c>
      <c r="H29">
        <v>199</v>
      </c>
      <c r="I29">
        <v>368</v>
      </c>
      <c r="J29">
        <v>406</v>
      </c>
      <c r="K29">
        <v>353</v>
      </c>
      <c r="L29">
        <v>599</v>
      </c>
      <c r="M29">
        <v>96</v>
      </c>
      <c r="N29">
        <v>810</v>
      </c>
      <c r="O29">
        <v>94</v>
      </c>
    </row>
    <row r="30" spans="1:15" x14ac:dyDescent="0.25">
      <c r="A30">
        <v>15</v>
      </c>
      <c r="B30" s="10">
        <v>45366</v>
      </c>
      <c r="C30" t="s">
        <v>449</v>
      </c>
      <c r="D30" t="s">
        <v>12</v>
      </c>
      <c r="E30" t="s">
        <v>419</v>
      </c>
      <c r="F30">
        <v>747</v>
      </c>
      <c r="G30">
        <v>147</v>
      </c>
      <c r="H30">
        <v>264</v>
      </c>
      <c r="I30">
        <v>246</v>
      </c>
      <c r="J30">
        <v>13</v>
      </c>
      <c r="K30">
        <v>579</v>
      </c>
      <c r="L30">
        <v>791</v>
      </c>
      <c r="M30">
        <v>501</v>
      </c>
      <c r="N30">
        <v>752</v>
      </c>
      <c r="O30">
        <v>275</v>
      </c>
    </row>
    <row r="31" spans="1:15" x14ac:dyDescent="0.25">
      <c r="A31">
        <v>28</v>
      </c>
      <c r="B31" s="10">
        <v>45501</v>
      </c>
      <c r="C31" t="s">
        <v>450</v>
      </c>
      <c r="D31" t="s">
        <v>52</v>
      </c>
      <c r="E31" t="s">
        <v>193</v>
      </c>
      <c r="F31">
        <v>40</v>
      </c>
      <c r="G31">
        <v>740</v>
      </c>
      <c r="H31">
        <v>606</v>
      </c>
      <c r="I31">
        <v>22</v>
      </c>
      <c r="J31">
        <v>426</v>
      </c>
      <c r="K31">
        <v>228</v>
      </c>
      <c r="L31">
        <v>533</v>
      </c>
      <c r="M31">
        <v>551</v>
      </c>
      <c r="N31">
        <v>674</v>
      </c>
      <c r="O31">
        <v>642</v>
      </c>
    </row>
    <row r="32" spans="1:15" x14ac:dyDescent="0.25">
      <c r="A32">
        <v>23</v>
      </c>
      <c r="B32" s="10">
        <v>45588</v>
      </c>
      <c r="C32" t="s">
        <v>451</v>
      </c>
      <c r="D32" t="s">
        <v>12</v>
      </c>
      <c r="E32" t="s">
        <v>588</v>
      </c>
      <c r="F32">
        <v>395</v>
      </c>
      <c r="G32">
        <v>769</v>
      </c>
      <c r="H32">
        <v>465</v>
      </c>
      <c r="I32">
        <v>859</v>
      </c>
      <c r="J32">
        <v>33</v>
      </c>
      <c r="K32">
        <v>979</v>
      </c>
      <c r="L32">
        <v>951</v>
      </c>
      <c r="M32">
        <v>108</v>
      </c>
      <c r="N32">
        <v>744</v>
      </c>
      <c r="O32">
        <v>955</v>
      </c>
    </row>
    <row r="33" spans="1:15" x14ac:dyDescent="0.25">
      <c r="A33">
        <v>30</v>
      </c>
      <c r="B33" s="10">
        <v>45565</v>
      </c>
      <c r="C33" t="s">
        <v>452</v>
      </c>
      <c r="D33" t="s">
        <v>587</v>
      </c>
      <c r="E33" t="s">
        <v>193</v>
      </c>
      <c r="F33">
        <v>465</v>
      </c>
      <c r="G33">
        <v>155</v>
      </c>
      <c r="H33">
        <v>750</v>
      </c>
      <c r="I33">
        <v>416</v>
      </c>
      <c r="J33">
        <v>149</v>
      </c>
      <c r="K33">
        <v>933</v>
      </c>
      <c r="L33">
        <v>451</v>
      </c>
      <c r="M33">
        <v>95</v>
      </c>
      <c r="N33">
        <v>450</v>
      </c>
      <c r="O33">
        <v>787</v>
      </c>
    </row>
    <row r="34" spans="1:15" x14ac:dyDescent="0.25">
      <c r="A34">
        <v>20</v>
      </c>
      <c r="B34" s="10">
        <v>45616</v>
      </c>
      <c r="C34" t="s">
        <v>453</v>
      </c>
      <c r="D34" t="s">
        <v>12</v>
      </c>
      <c r="E34" t="s">
        <v>414</v>
      </c>
      <c r="F34">
        <v>651</v>
      </c>
      <c r="G34">
        <v>134</v>
      </c>
      <c r="H34">
        <v>599</v>
      </c>
      <c r="I34">
        <v>992</v>
      </c>
      <c r="J34">
        <v>748</v>
      </c>
      <c r="K34">
        <v>129</v>
      </c>
      <c r="L34">
        <v>78</v>
      </c>
      <c r="M34">
        <v>501</v>
      </c>
      <c r="N34">
        <v>682</v>
      </c>
      <c r="O34">
        <v>848</v>
      </c>
    </row>
    <row r="35" spans="1:15" x14ac:dyDescent="0.25">
      <c r="A35">
        <v>26</v>
      </c>
      <c r="B35" s="10">
        <v>45652</v>
      </c>
      <c r="C35" t="s">
        <v>454</v>
      </c>
      <c r="D35" t="s">
        <v>587</v>
      </c>
      <c r="E35" t="s">
        <v>413</v>
      </c>
      <c r="F35">
        <v>384</v>
      </c>
      <c r="G35">
        <v>489</v>
      </c>
      <c r="H35">
        <v>683</v>
      </c>
      <c r="I35">
        <v>976</v>
      </c>
      <c r="J35">
        <v>300</v>
      </c>
      <c r="K35">
        <v>712</v>
      </c>
      <c r="L35">
        <v>373</v>
      </c>
      <c r="M35">
        <v>834</v>
      </c>
      <c r="N35">
        <v>641</v>
      </c>
      <c r="O35">
        <v>158</v>
      </c>
    </row>
    <row r="36" spans="1:15" x14ac:dyDescent="0.25">
      <c r="A36">
        <v>23</v>
      </c>
      <c r="B36" s="10">
        <v>45558</v>
      </c>
      <c r="C36" t="s">
        <v>455</v>
      </c>
      <c r="D36" t="s">
        <v>12</v>
      </c>
      <c r="E36" t="s">
        <v>588</v>
      </c>
      <c r="F36">
        <v>197</v>
      </c>
      <c r="G36">
        <v>415</v>
      </c>
      <c r="H36">
        <v>111</v>
      </c>
      <c r="I36">
        <v>282</v>
      </c>
      <c r="J36">
        <v>4</v>
      </c>
      <c r="K36">
        <v>784</v>
      </c>
      <c r="L36">
        <v>482</v>
      </c>
      <c r="M36">
        <v>795</v>
      </c>
      <c r="N36">
        <v>609</v>
      </c>
      <c r="O36">
        <v>544</v>
      </c>
    </row>
    <row r="37" spans="1:15" x14ac:dyDescent="0.25">
      <c r="A37">
        <v>8</v>
      </c>
      <c r="B37" s="10">
        <v>45543</v>
      </c>
      <c r="C37" t="s">
        <v>456</v>
      </c>
      <c r="D37" t="s">
        <v>587</v>
      </c>
      <c r="E37" t="s">
        <v>414</v>
      </c>
      <c r="F37">
        <v>318</v>
      </c>
      <c r="G37">
        <v>618</v>
      </c>
      <c r="H37">
        <v>605</v>
      </c>
      <c r="I37">
        <v>158</v>
      </c>
      <c r="J37">
        <v>950</v>
      </c>
      <c r="K37">
        <v>511</v>
      </c>
      <c r="L37">
        <v>30</v>
      </c>
      <c r="M37">
        <v>359</v>
      </c>
      <c r="N37">
        <v>365</v>
      </c>
      <c r="O37">
        <v>805</v>
      </c>
    </row>
    <row r="38" spans="1:15" x14ac:dyDescent="0.25">
      <c r="A38">
        <v>17</v>
      </c>
      <c r="B38" s="10">
        <v>45308</v>
      </c>
      <c r="C38" t="s">
        <v>457</v>
      </c>
      <c r="D38" t="s">
        <v>13</v>
      </c>
      <c r="E38" t="s">
        <v>414</v>
      </c>
      <c r="F38">
        <v>532</v>
      </c>
      <c r="G38">
        <v>795</v>
      </c>
      <c r="H38">
        <v>180</v>
      </c>
      <c r="I38">
        <v>944</v>
      </c>
      <c r="J38">
        <v>579</v>
      </c>
      <c r="K38">
        <v>459</v>
      </c>
      <c r="L38">
        <v>177</v>
      </c>
      <c r="M38">
        <v>242</v>
      </c>
      <c r="N38">
        <v>484</v>
      </c>
      <c r="O38">
        <v>721</v>
      </c>
    </row>
    <row r="39" spans="1:15" x14ac:dyDescent="0.25">
      <c r="A39">
        <v>17</v>
      </c>
      <c r="B39" s="10">
        <v>45613</v>
      </c>
      <c r="C39" t="s">
        <v>458</v>
      </c>
      <c r="D39" t="s">
        <v>587</v>
      </c>
      <c r="E39" t="s">
        <v>419</v>
      </c>
      <c r="F39">
        <v>300</v>
      </c>
      <c r="G39">
        <v>604</v>
      </c>
      <c r="H39">
        <v>782</v>
      </c>
      <c r="I39">
        <v>813</v>
      </c>
      <c r="J39">
        <v>55</v>
      </c>
      <c r="K39">
        <v>10</v>
      </c>
      <c r="L39">
        <v>837</v>
      </c>
      <c r="M39">
        <v>563</v>
      </c>
      <c r="N39">
        <v>362</v>
      </c>
      <c r="O39">
        <v>872</v>
      </c>
    </row>
    <row r="40" spans="1:15" x14ac:dyDescent="0.25">
      <c r="A40">
        <v>3</v>
      </c>
      <c r="B40" s="10">
        <v>45415</v>
      </c>
      <c r="C40" t="s">
        <v>459</v>
      </c>
      <c r="D40" t="s">
        <v>52</v>
      </c>
      <c r="E40" t="s">
        <v>413</v>
      </c>
      <c r="F40">
        <v>609</v>
      </c>
      <c r="G40">
        <v>381</v>
      </c>
      <c r="H40">
        <v>791</v>
      </c>
      <c r="I40">
        <v>629</v>
      </c>
      <c r="J40">
        <v>143</v>
      </c>
      <c r="K40">
        <v>149</v>
      </c>
      <c r="L40">
        <v>787</v>
      </c>
      <c r="M40">
        <v>993</v>
      </c>
      <c r="N40">
        <v>912</v>
      </c>
      <c r="O40">
        <v>888</v>
      </c>
    </row>
    <row r="41" spans="1:15" x14ac:dyDescent="0.25">
      <c r="A41">
        <v>29</v>
      </c>
      <c r="B41" s="10">
        <v>45502</v>
      </c>
      <c r="C41" t="s">
        <v>460</v>
      </c>
      <c r="D41" t="s">
        <v>15</v>
      </c>
      <c r="E41" t="s">
        <v>413</v>
      </c>
      <c r="F41">
        <v>109</v>
      </c>
      <c r="G41">
        <v>681</v>
      </c>
      <c r="H41">
        <v>756</v>
      </c>
      <c r="I41">
        <v>595</v>
      </c>
      <c r="J41">
        <v>834</v>
      </c>
      <c r="K41">
        <v>29</v>
      </c>
      <c r="L41">
        <v>912</v>
      </c>
      <c r="M41">
        <v>109</v>
      </c>
      <c r="N41">
        <v>789</v>
      </c>
      <c r="O41">
        <v>102</v>
      </c>
    </row>
    <row r="42" spans="1:15" x14ac:dyDescent="0.25">
      <c r="A42">
        <v>21</v>
      </c>
      <c r="B42" s="10">
        <v>45464</v>
      </c>
      <c r="C42" t="s">
        <v>461</v>
      </c>
      <c r="D42" t="s">
        <v>13</v>
      </c>
      <c r="E42" t="s">
        <v>193</v>
      </c>
      <c r="F42">
        <v>544</v>
      </c>
      <c r="G42">
        <v>739</v>
      </c>
      <c r="H42">
        <v>352</v>
      </c>
      <c r="I42">
        <v>565</v>
      </c>
      <c r="J42">
        <v>699</v>
      </c>
      <c r="K42">
        <v>63</v>
      </c>
      <c r="L42">
        <v>962</v>
      </c>
      <c r="M42">
        <v>666</v>
      </c>
      <c r="N42">
        <v>150</v>
      </c>
      <c r="O42">
        <v>435</v>
      </c>
    </row>
    <row r="43" spans="1:15" x14ac:dyDescent="0.25">
      <c r="A43">
        <v>11</v>
      </c>
      <c r="B43" s="10">
        <v>45546</v>
      </c>
      <c r="C43" t="s">
        <v>462</v>
      </c>
      <c r="D43" t="s">
        <v>190</v>
      </c>
      <c r="E43" t="s">
        <v>588</v>
      </c>
      <c r="F43">
        <v>464</v>
      </c>
      <c r="G43">
        <v>728</v>
      </c>
      <c r="H43">
        <v>685</v>
      </c>
      <c r="I43">
        <v>877</v>
      </c>
      <c r="J43">
        <v>411</v>
      </c>
      <c r="K43">
        <v>267</v>
      </c>
      <c r="L43">
        <v>789</v>
      </c>
      <c r="M43">
        <v>782</v>
      </c>
      <c r="N43">
        <v>241</v>
      </c>
      <c r="O43">
        <v>285</v>
      </c>
    </row>
    <row r="44" spans="1:15" x14ac:dyDescent="0.25">
      <c r="A44">
        <v>29</v>
      </c>
      <c r="B44" s="10">
        <v>45320</v>
      </c>
      <c r="C44" t="s">
        <v>463</v>
      </c>
      <c r="D44" t="s">
        <v>12</v>
      </c>
      <c r="E44" t="s">
        <v>588</v>
      </c>
      <c r="F44">
        <v>111</v>
      </c>
      <c r="G44">
        <v>19</v>
      </c>
      <c r="H44">
        <v>276</v>
      </c>
      <c r="I44">
        <v>277</v>
      </c>
      <c r="J44">
        <v>363</v>
      </c>
      <c r="K44">
        <v>305</v>
      </c>
      <c r="L44">
        <v>863</v>
      </c>
      <c r="M44">
        <v>832</v>
      </c>
      <c r="N44">
        <v>676</v>
      </c>
      <c r="O44">
        <v>804</v>
      </c>
    </row>
    <row r="45" spans="1:15" x14ac:dyDescent="0.25">
      <c r="A45">
        <v>4</v>
      </c>
      <c r="B45" s="10">
        <v>45477</v>
      </c>
      <c r="C45" t="s">
        <v>464</v>
      </c>
      <c r="D45" t="s">
        <v>52</v>
      </c>
      <c r="E45" t="s">
        <v>193</v>
      </c>
      <c r="F45">
        <v>496</v>
      </c>
      <c r="G45">
        <v>893</v>
      </c>
      <c r="H45">
        <v>294</v>
      </c>
      <c r="I45">
        <v>178</v>
      </c>
      <c r="J45">
        <v>399</v>
      </c>
      <c r="K45">
        <v>407</v>
      </c>
      <c r="L45">
        <v>715</v>
      </c>
      <c r="M45">
        <v>310</v>
      </c>
      <c r="N45">
        <v>496</v>
      </c>
      <c r="O45">
        <v>673</v>
      </c>
    </row>
    <row r="46" spans="1:15" x14ac:dyDescent="0.25">
      <c r="A46">
        <v>2</v>
      </c>
      <c r="B46" s="10">
        <v>45628</v>
      </c>
      <c r="C46" t="s">
        <v>465</v>
      </c>
      <c r="D46" t="s">
        <v>52</v>
      </c>
      <c r="E46" t="s">
        <v>193</v>
      </c>
      <c r="F46">
        <v>73</v>
      </c>
      <c r="G46">
        <v>58</v>
      </c>
      <c r="H46">
        <v>818</v>
      </c>
      <c r="I46">
        <v>230</v>
      </c>
      <c r="J46">
        <v>552</v>
      </c>
      <c r="K46">
        <v>292</v>
      </c>
      <c r="L46">
        <v>728</v>
      </c>
      <c r="M46">
        <v>88</v>
      </c>
      <c r="N46">
        <v>411</v>
      </c>
      <c r="O46">
        <v>101</v>
      </c>
    </row>
    <row r="47" spans="1:15" x14ac:dyDescent="0.25">
      <c r="A47">
        <v>13</v>
      </c>
      <c r="B47" s="10">
        <v>45304</v>
      </c>
      <c r="C47" t="s">
        <v>466</v>
      </c>
      <c r="D47" t="s">
        <v>12</v>
      </c>
      <c r="E47" t="s">
        <v>193</v>
      </c>
      <c r="F47">
        <v>574</v>
      </c>
      <c r="G47">
        <v>269</v>
      </c>
      <c r="H47">
        <v>230</v>
      </c>
      <c r="I47">
        <v>775</v>
      </c>
      <c r="J47">
        <v>772</v>
      </c>
      <c r="K47">
        <v>564</v>
      </c>
      <c r="L47">
        <v>673</v>
      </c>
      <c r="M47">
        <v>615</v>
      </c>
      <c r="N47">
        <v>37</v>
      </c>
      <c r="O47">
        <v>779</v>
      </c>
    </row>
    <row r="48" spans="1:15" x14ac:dyDescent="0.25">
      <c r="A48">
        <v>7</v>
      </c>
      <c r="B48" s="10">
        <v>45511</v>
      </c>
      <c r="C48" t="s">
        <v>467</v>
      </c>
      <c r="D48" t="s">
        <v>587</v>
      </c>
      <c r="E48" t="s">
        <v>193</v>
      </c>
      <c r="F48">
        <v>746</v>
      </c>
      <c r="G48">
        <v>276</v>
      </c>
      <c r="H48">
        <v>435</v>
      </c>
      <c r="I48">
        <v>305</v>
      </c>
      <c r="J48">
        <v>152</v>
      </c>
      <c r="K48">
        <v>51</v>
      </c>
      <c r="L48">
        <v>259</v>
      </c>
      <c r="M48">
        <v>759</v>
      </c>
      <c r="N48">
        <v>77</v>
      </c>
      <c r="O48">
        <v>437</v>
      </c>
    </row>
    <row r="49" spans="1:15" x14ac:dyDescent="0.25">
      <c r="A49">
        <v>24</v>
      </c>
      <c r="B49" s="10">
        <v>45436</v>
      </c>
      <c r="C49" t="s">
        <v>468</v>
      </c>
      <c r="D49" t="s">
        <v>15</v>
      </c>
      <c r="E49" t="s">
        <v>413</v>
      </c>
      <c r="F49">
        <v>330</v>
      </c>
      <c r="G49">
        <v>580</v>
      </c>
      <c r="H49">
        <v>469</v>
      </c>
      <c r="I49">
        <v>90</v>
      </c>
      <c r="J49">
        <v>826</v>
      </c>
      <c r="K49">
        <v>241</v>
      </c>
      <c r="L49">
        <v>341</v>
      </c>
      <c r="M49">
        <v>235</v>
      </c>
      <c r="N49">
        <v>488</v>
      </c>
      <c r="O49">
        <v>110</v>
      </c>
    </row>
    <row r="50" spans="1:15" x14ac:dyDescent="0.25">
      <c r="A50">
        <v>5</v>
      </c>
      <c r="B50" s="10">
        <v>45356</v>
      </c>
      <c r="C50" t="s">
        <v>469</v>
      </c>
      <c r="D50" t="s">
        <v>15</v>
      </c>
      <c r="E50" t="s">
        <v>419</v>
      </c>
      <c r="F50">
        <v>166</v>
      </c>
      <c r="G50">
        <v>891</v>
      </c>
      <c r="H50">
        <v>910</v>
      </c>
      <c r="I50">
        <v>495</v>
      </c>
      <c r="J50">
        <v>423</v>
      </c>
      <c r="K50">
        <v>712</v>
      </c>
      <c r="L50">
        <v>713</v>
      </c>
      <c r="M50">
        <v>678</v>
      </c>
      <c r="N50">
        <v>82</v>
      </c>
      <c r="O50">
        <v>16</v>
      </c>
    </row>
    <row r="51" spans="1:15" x14ac:dyDescent="0.25">
      <c r="A51">
        <v>3</v>
      </c>
      <c r="B51" s="10">
        <v>45294</v>
      </c>
      <c r="C51" t="s">
        <v>470</v>
      </c>
      <c r="D51" t="s">
        <v>13</v>
      </c>
      <c r="E51" t="s">
        <v>588</v>
      </c>
      <c r="F51">
        <v>478</v>
      </c>
      <c r="G51">
        <v>555</v>
      </c>
      <c r="H51">
        <v>963</v>
      </c>
      <c r="I51">
        <v>379</v>
      </c>
      <c r="J51">
        <v>285</v>
      </c>
      <c r="K51">
        <v>733</v>
      </c>
      <c r="L51">
        <v>434</v>
      </c>
      <c r="M51">
        <v>327</v>
      </c>
      <c r="N51">
        <v>403</v>
      </c>
      <c r="O51">
        <v>294</v>
      </c>
    </row>
    <row r="52" spans="1:15" x14ac:dyDescent="0.25">
      <c r="A52">
        <v>29</v>
      </c>
      <c r="B52" s="10">
        <v>45533</v>
      </c>
      <c r="C52" t="s">
        <v>471</v>
      </c>
      <c r="D52" t="s">
        <v>587</v>
      </c>
      <c r="E52" t="s">
        <v>419</v>
      </c>
      <c r="F52">
        <v>866</v>
      </c>
      <c r="G52">
        <v>928</v>
      </c>
      <c r="H52">
        <v>603</v>
      </c>
      <c r="I52">
        <v>456</v>
      </c>
      <c r="J52">
        <v>188</v>
      </c>
      <c r="K52">
        <v>686</v>
      </c>
      <c r="L52">
        <v>273</v>
      </c>
      <c r="M52">
        <v>691</v>
      </c>
      <c r="N52">
        <v>585</v>
      </c>
      <c r="O52">
        <v>4</v>
      </c>
    </row>
    <row r="53" spans="1:15" x14ac:dyDescent="0.25">
      <c r="A53">
        <v>1</v>
      </c>
      <c r="B53" s="10">
        <v>45505</v>
      </c>
      <c r="C53" t="s">
        <v>472</v>
      </c>
      <c r="D53" t="s">
        <v>190</v>
      </c>
      <c r="E53" t="s">
        <v>193</v>
      </c>
      <c r="F53">
        <v>521</v>
      </c>
      <c r="G53">
        <v>983</v>
      </c>
      <c r="H53">
        <v>641</v>
      </c>
      <c r="I53">
        <v>646</v>
      </c>
      <c r="J53">
        <v>323</v>
      </c>
      <c r="K53">
        <v>505</v>
      </c>
      <c r="L53">
        <v>35</v>
      </c>
      <c r="M53">
        <v>577</v>
      </c>
      <c r="N53">
        <v>842</v>
      </c>
      <c r="O53">
        <v>73</v>
      </c>
    </row>
    <row r="54" spans="1:15" x14ac:dyDescent="0.25">
      <c r="A54">
        <v>14</v>
      </c>
      <c r="B54" s="10">
        <v>45396</v>
      </c>
      <c r="C54" t="s">
        <v>473</v>
      </c>
      <c r="D54" t="s">
        <v>12</v>
      </c>
      <c r="E54" t="s">
        <v>414</v>
      </c>
      <c r="F54">
        <v>643</v>
      </c>
      <c r="G54">
        <v>108</v>
      </c>
      <c r="H54">
        <v>477</v>
      </c>
      <c r="I54">
        <v>879</v>
      </c>
      <c r="J54">
        <v>857</v>
      </c>
      <c r="K54">
        <v>962</v>
      </c>
      <c r="L54">
        <v>430</v>
      </c>
      <c r="M54">
        <v>322</v>
      </c>
      <c r="N54">
        <v>818</v>
      </c>
      <c r="O54">
        <v>718</v>
      </c>
    </row>
    <row r="55" spans="1:15" x14ac:dyDescent="0.25">
      <c r="A55">
        <v>25</v>
      </c>
      <c r="B55" s="10">
        <v>45498</v>
      </c>
      <c r="C55" t="s">
        <v>474</v>
      </c>
      <c r="D55" t="s">
        <v>15</v>
      </c>
      <c r="E55" t="s">
        <v>419</v>
      </c>
      <c r="F55">
        <v>213</v>
      </c>
      <c r="G55">
        <v>200</v>
      </c>
      <c r="H55">
        <v>431</v>
      </c>
      <c r="I55">
        <v>736</v>
      </c>
      <c r="J55">
        <v>354</v>
      </c>
      <c r="K55">
        <v>767</v>
      </c>
      <c r="L55">
        <v>185</v>
      </c>
      <c r="M55">
        <v>866</v>
      </c>
      <c r="N55">
        <v>285</v>
      </c>
      <c r="O55">
        <v>53</v>
      </c>
    </row>
    <row r="56" spans="1:15" x14ac:dyDescent="0.25">
      <c r="A56">
        <v>11</v>
      </c>
      <c r="B56" s="10">
        <v>45454</v>
      </c>
      <c r="C56" t="s">
        <v>475</v>
      </c>
      <c r="D56" t="s">
        <v>15</v>
      </c>
      <c r="E56" t="s">
        <v>588</v>
      </c>
      <c r="F56">
        <v>788</v>
      </c>
      <c r="G56">
        <v>736</v>
      </c>
      <c r="H56">
        <v>722</v>
      </c>
      <c r="I56">
        <v>319</v>
      </c>
      <c r="J56">
        <v>784</v>
      </c>
      <c r="K56">
        <v>784</v>
      </c>
      <c r="L56">
        <v>404</v>
      </c>
      <c r="M56">
        <v>569</v>
      </c>
      <c r="N56">
        <v>10</v>
      </c>
      <c r="O56">
        <v>94</v>
      </c>
    </row>
    <row r="57" spans="1:15" x14ac:dyDescent="0.25">
      <c r="A57">
        <v>5</v>
      </c>
      <c r="B57" s="10">
        <v>45417</v>
      </c>
      <c r="C57" t="s">
        <v>476</v>
      </c>
      <c r="D57" t="s">
        <v>12</v>
      </c>
      <c r="E57" t="s">
        <v>419</v>
      </c>
      <c r="F57">
        <v>809</v>
      </c>
      <c r="G57">
        <v>261</v>
      </c>
      <c r="H57">
        <v>248</v>
      </c>
      <c r="I57">
        <v>486</v>
      </c>
      <c r="J57">
        <v>949</v>
      </c>
      <c r="K57">
        <v>10</v>
      </c>
      <c r="L57">
        <v>187</v>
      </c>
      <c r="M57">
        <v>584</v>
      </c>
      <c r="N57">
        <v>676</v>
      </c>
      <c r="O57">
        <v>208</v>
      </c>
    </row>
    <row r="58" spans="1:15" x14ac:dyDescent="0.25">
      <c r="A58">
        <v>31</v>
      </c>
      <c r="B58" s="10">
        <v>45443</v>
      </c>
      <c r="C58" t="s">
        <v>477</v>
      </c>
      <c r="D58" t="s">
        <v>12</v>
      </c>
      <c r="E58" t="s">
        <v>193</v>
      </c>
      <c r="F58">
        <v>994</v>
      </c>
      <c r="G58">
        <v>29</v>
      </c>
      <c r="H58">
        <v>288</v>
      </c>
      <c r="I58">
        <v>395</v>
      </c>
      <c r="J58">
        <v>110</v>
      </c>
      <c r="K58">
        <v>793</v>
      </c>
      <c r="L58">
        <v>240</v>
      </c>
      <c r="M58">
        <v>882</v>
      </c>
      <c r="N58">
        <v>716</v>
      </c>
      <c r="O58">
        <v>38</v>
      </c>
    </row>
    <row r="59" spans="1:15" x14ac:dyDescent="0.25">
      <c r="A59">
        <v>1</v>
      </c>
      <c r="B59" s="10">
        <v>45566</v>
      </c>
      <c r="C59" t="s">
        <v>478</v>
      </c>
      <c r="D59" t="s">
        <v>190</v>
      </c>
      <c r="E59" t="s">
        <v>413</v>
      </c>
      <c r="F59">
        <v>766</v>
      </c>
      <c r="G59">
        <v>382</v>
      </c>
      <c r="H59">
        <v>975</v>
      </c>
      <c r="I59">
        <v>274</v>
      </c>
      <c r="J59">
        <v>255</v>
      </c>
      <c r="K59">
        <v>998</v>
      </c>
      <c r="L59">
        <v>263</v>
      </c>
      <c r="M59">
        <v>232</v>
      </c>
      <c r="N59">
        <v>824</v>
      </c>
      <c r="O59">
        <v>175</v>
      </c>
    </row>
    <row r="60" spans="1:15" x14ac:dyDescent="0.25">
      <c r="A60">
        <v>14</v>
      </c>
      <c r="B60" s="10">
        <v>45457</v>
      </c>
      <c r="C60" t="s">
        <v>479</v>
      </c>
      <c r="D60" t="s">
        <v>15</v>
      </c>
      <c r="E60" t="s">
        <v>419</v>
      </c>
      <c r="F60">
        <v>62</v>
      </c>
      <c r="G60">
        <v>66</v>
      </c>
      <c r="H60">
        <v>332</v>
      </c>
      <c r="I60">
        <v>53</v>
      </c>
      <c r="J60">
        <v>297</v>
      </c>
      <c r="K60">
        <v>621</v>
      </c>
      <c r="L60">
        <v>72</v>
      </c>
      <c r="M60">
        <v>159</v>
      </c>
      <c r="N60">
        <v>58</v>
      </c>
      <c r="O60">
        <v>222</v>
      </c>
    </row>
    <row r="61" spans="1:15" x14ac:dyDescent="0.25">
      <c r="A61">
        <v>24</v>
      </c>
      <c r="B61" s="10">
        <v>45589</v>
      </c>
      <c r="C61" t="s">
        <v>480</v>
      </c>
      <c r="D61" t="s">
        <v>190</v>
      </c>
      <c r="E61" t="s">
        <v>419</v>
      </c>
      <c r="F61">
        <v>181</v>
      </c>
      <c r="G61">
        <v>105</v>
      </c>
      <c r="H61">
        <v>679</v>
      </c>
      <c r="I61">
        <v>47</v>
      </c>
      <c r="J61">
        <v>566</v>
      </c>
      <c r="K61">
        <v>780</v>
      </c>
      <c r="L61">
        <v>304</v>
      </c>
      <c r="M61">
        <v>51</v>
      </c>
      <c r="N61">
        <v>703</v>
      </c>
      <c r="O61">
        <v>320</v>
      </c>
    </row>
    <row r="62" spans="1:15" x14ac:dyDescent="0.25">
      <c r="A62">
        <v>24</v>
      </c>
      <c r="B62" s="10">
        <v>45406</v>
      </c>
      <c r="C62" t="s">
        <v>481</v>
      </c>
      <c r="D62" t="s">
        <v>190</v>
      </c>
      <c r="E62" t="s">
        <v>413</v>
      </c>
      <c r="F62">
        <v>464</v>
      </c>
      <c r="G62">
        <v>658</v>
      </c>
      <c r="H62">
        <v>960</v>
      </c>
      <c r="I62">
        <v>567</v>
      </c>
      <c r="J62">
        <v>3</v>
      </c>
      <c r="K62">
        <v>2</v>
      </c>
      <c r="L62">
        <v>932</v>
      </c>
      <c r="M62">
        <v>766</v>
      </c>
      <c r="N62">
        <v>645</v>
      </c>
      <c r="O62">
        <v>817</v>
      </c>
    </row>
    <row r="63" spans="1:15" x14ac:dyDescent="0.25">
      <c r="A63">
        <v>12</v>
      </c>
      <c r="B63" s="10">
        <v>45363</v>
      </c>
      <c r="C63" t="s">
        <v>482</v>
      </c>
      <c r="D63" t="s">
        <v>12</v>
      </c>
      <c r="E63" t="s">
        <v>419</v>
      </c>
      <c r="F63">
        <v>67</v>
      </c>
      <c r="G63">
        <v>836</v>
      </c>
      <c r="H63">
        <v>167</v>
      </c>
      <c r="I63">
        <v>138</v>
      </c>
      <c r="J63">
        <v>904</v>
      </c>
      <c r="K63">
        <v>693</v>
      </c>
      <c r="L63">
        <v>809</v>
      </c>
      <c r="M63">
        <v>125</v>
      </c>
      <c r="N63">
        <v>397</v>
      </c>
      <c r="O63">
        <v>569</v>
      </c>
    </row>
    <row r="64" spans="1:15" x14ac:dyDescent="0.25">
      <c r="A64">
        <v>5</v>
      </c>
      <c r="B64" s="10">
        <v>45601</v>
      </c>
      <c r="C64" t="s">
        <v>483</v>
      </c>
      <c r="D64" t="s">
        <v>190</v>
      </c>
      <c r="E64" t="s">
        <v>588</v>
      </c>
      <c r="F64">
        <v>305</v>
      </c>
      <c r="G64">
        <v>306</v>
      </c>
      <c r="H64">
        <v>565</v>
      </c>
      <c r="I64">
        <v>954</v>
      </c>
      <c r="J64">
        <v>813</v>
      </c>
      <c r="K64">
        <v>165</v>
      </c>
      <c r="L64">
        <v>479</v>
      </c>
      <c r="M64">
        <v>757</v>
      </c>
      <c r="N64">
        <v>622</v>
      </c>
      <c r="O64">
        <v>803</v>
      </c>
    </row>
    <row r="65" spans="1:15" x14ac:dyDescent="0.25">
      <c r="A65">
        <v>11</v>
      </c>
      <c r="B65" s="10">
        <v>45423</v>
      </c>
      <c r="C65" t="s">
        <v>484</v>
      </c>
      <c r="D65" t="s">
        <v>15</v>
      </c>
      <c r="E65" t="s">
        <v>411</v>
      </c>
      <c r="F65">
        <v>207</v>
      </c>
      <c r="G65">
        <v>797</v>
      </c>
      <c r="H65">
        <v>330</v>
      </c>
      <c r="I65">
        <v>902</v>
      </c>
      <c r="J65">
        <v>995</v>
      </c>
      <c r="K65">
        <v>753</v>
      </c>
      <c r="L65">
        <v>246</v>
      </c>
      <c r="M65">
        <v>87</v>
      </c>
      <c r="N65">
        <v>653</v>
      </c>
      <c r="O65">
        <v>458</v>
      </c>
    </row>
    <row r="66" spans="1:15" x14ac:dyDescent="0.25">
      <c r="A66">
        <v>23</v>
      </c>
      <c r="B66" s="10">
        <v>45466</v>
      </c>
      <c r="C66" t="s">
        <v>485</v>
      </c>
      <c r="D66" t="s">
        <v>52</v>
      </c>
      <c r="E66" t="s">
        <v>411</v>
      </c>
      <c r="F66">
        <v>426</v>
      </c>
      <c r="G66">
        <v>175</v>
      </c>
      <c r="H66">
        <v>427</v>
      </c>
      <c r="I66">
        <v>994</v>
      </c>
      <c r="J66">
        <v>839</v>
      </c>
      <c r="K66">
        <v>495</v>
      </c>
      <c r="L66">
        <v>349</v>
      </c>
      <c r="M66">
        <v>512</v>
      </c>
      <c r="N66">
        <v>734</v>
      </c>
      <c r="O66">
        <v>734</v>
      </c>
    </row>
    <row r="67" spans="1:15" x14ac:dyDescent="0.25">
      <c r="A67">
        <v>5</v>
      </c>
      <c r="B67" s="10">
        <v>45448</v>
      </c>
      <c r="C67" t="s">
        <v>486</v>
      </c>
      <c r="D67" t="s">
        <v>12</v>
      </c>
      <c r="E67" t="s">
        <v>414</v>
      </c>
      <c r="F67">
        <v>915</v>
      </c>
      <c r="G67">
        <v>132</v>
      </c>
      <c r="H67">
        <v>260</v>
      </c>
      <c r="I67">
        <v>522</v>
      </c>
      <c r="J67">
        <v>492</v>
      </c>
      <c r="K67">
        <v>765</v>
      </c>
      <c r="L67">
        <v>737</v>
      </c>
      <c r="M67">
        <v>378</v>
      </c>
      <c r="N67">
        <v>894</v>
      </c>
      <c r="O67">
        <v>602</v>
      </c>
    </row>
    <row r="68" spans="1:15" x14ac:dyDescent="0.25">
      <c r="A68">
        <v>27</v>
      </c>
      <c r="B68" s="10">
        <v>45349</v>
      </c>
      <c r="C68" t="s">
        <v>487</v>
      </c>
      <c r="D68" t="s">
        <v>190</v>
      </c>
      <c r="E68" t="s">
        <v>413</v>
      </c>
      <c r="F68">
        <v>53</v>
      </c>
      <c r="G68">
        <v>102</v>
      </c>
      <c r="H68">
        <v>72</v>
      </c>
      <c r="I68">
        <v>818</v>
      </c>
      <c r="J68">
        <v>747</v>
      </c>
      <c r="K68">
        <v>726</v>
      </c>
      <c r="L68">
        <v>69</v>
      </c>
      <c r="M68">
        <v>328</v>
      </c>
      <c r="N68">
        <v>998</v>
      </c>
      <c r="O68">
        <v>818</v>
      </c>
    </row>
    <row r="69" spans="1:15" x14ac:dyDescent="0.25">
      <c r="A69">
        <v>22</v>
      </c>
      <c r="B69" s="10">
        <v>45465</v>
      </c>
      <c r="C69" t="s">
        <v>488</v>
      </c>
      <c r="D69" t="s">
        <v>587</v>
      </c>
      <c r="E69" t="s">
        <v>588</v>
      </c>
      <c r="F69">
        <v>473</v>
      </c>
      <c r="G69">
        <v>155</v>
      </c>
      <c r="H69">
        <v>118</v>
      </c>
      <c r="I69">
        <v>898</v>
      </c>
      <c r="J69">
        <v>760</v>
      </c>
      <c r="K69">
        <v>555</v>
      </c>
      <c r="L69">
        <v>43</v>
      </c>
      <c r="M69">
        <v>373</v>
      </c>
      <c r="N69">
        <v>184</v>
      </c>
      <c r="O69">
        <v>663</v>
      </c>
    </row>
    <row r="70" spans="1:15" x14ac:dyDescent="0.25">
      <c r="A70">
        <v>24</v>
      </c>
      <c r="B70" s="10">
        <v>45315</v>
      </c>
      <c r="C70" t="s">
        <v>489</v>
      </c>
      <c r="D70" t="s">
        <v>15</v>
      </c>
      <c r="E70" t="s">
        <v>411</v>
      </c>
      <c r="F70">
        <v>171</v>
      </c>
      <c r="G70">
        <v>519</v>
      </c>
      <c r="H70">
        <v>941</v>
      </c>
      <c r="I70">
        <v>232</v>
      </c>
      <c r="J70">
        <v>710</v>
      </c>
      <c r="K70">
        <v>844</v>
      </c>
      <c r="L70">
        <v>492</v>
      </c>
      <c r="M70">
        <v>408</v>
      </c>
      <c r="N70">
        <v>462</v>
      </c>
      <c r="O70">
        <v>312</v>
      </c>
    </row>
    <row r="71" spans="1:15" x14ac:dyDescent="0.25">
      <c r="A71">
        <v>12</v>
      </c>
      <c r="B71" s="10">
        <v>45424</v>
      </c>
      <c r="C71" t="s">
        <v>490</v>
      </c>
      <c r="D71" t="s">
        <v>12</v>
      </c>
      <c r="E71" t="s">
        <v>413</v>
      </c>
      <c r="F71">
        <v>106</v>
      </c>
      <c r="G71">
        <v>725</v>
      </c>
      <c r="H71">
        <v>990</v>
      </c>
      <c r="I71">
        <v>924</v>
      </c>
      <c r="J71">
        <v>864</v>
      </c>
      <c r="K71">
        <v>620</v>
      </c>
      <c r="L71">
        <v>918</v>
      </c>
      <c r="M71">
        <v>24</v>
      </c>
      <c r="N71">
        <v>64</v>
      </c>
      <c r="O71">
        <v>826</v>
      </c>
    </row>
    <row r="72" spans="1:15" x14ac:dyDescent="0.25">
      <c r="A72">
        <v>4</v>
      </c>
      <c r="B72" s="10">
        <v>45630</v>
      </c>
      <c r="C72" t="s">
        <v>491</v>
      </c>
      <c r="D72" t="s">
        <v>13</v>
      </c>
      <c r="E72" t="s">
        <v>411</v>
      </c>
      <c r="F72">
        <v>188</v>
      </c>
      <c r="G72">
        <v>43</v>
      </c>
      <c r="H72">
        <v>605</v>
      </c>
      <c r="I72">
        <v>687</v>
      </c>
      <c r="J72">
        <v>881</v>
      </c>
      <c r="K72">
        <v>541</v>
      </c>
      <c r="L72">
        <v>102</v>
      </c>
      <c r="M72">
        <v>744</v>
      </c>
      <c r="N72">
        <v>273</v>
      </c>
      <c r="O72">
        <v>126</v>
      </c>
    </row>
    <row r="73" spans="1:15" x14ac:dyDescent="0.25">
      <c r="A73">
        <v>2</v>
      </c>
      <c r="B73" s="10">
        <v>45537</v>
      </c>
      <c r="C73" t="s">
        <v>492</v>
      </c>
      <c r="D73" t="s">
        <v>13</v>
      </c>
      <c r="E73" t="s">
        <v>411</v>
      </c>
      <c r="F73">
        <v>17</v>
      </c>
      <c r="G73">
        <v>761</v>
      </c>
      <c r="H73">
        <v>994</v>
      </c>
      <c r="I73">
        <v>645</v>
      </c>
      <c r="J73">
        <v>297</v>
      </c>
      <c r="K73">
        <v>725</v>
      </c>
      <c r="L73">
        <v>247</v>
      </c>
      <c r="M73">
        <v>357</v>
      </c>
      <c r="N73">
        <v>699</v>
      </c>
      <c r="O73">
        <v>122</v>
      </c>
    </row>
    <row r="74" spans="1:15" x14ac:dyDescent="0.25">
      <c r="A74">
        <v>21</v>
      </c>
      <c r="B74" s="10">
        <v>45312</v>
      </c>
      <c r="C74" t="s">
        <v>493</v>
      </c>
      <c r="D74" t="s">
        <v>12</v>
      </c>
      <c r="E74" t="s">
        <v>414</v>
      </c>
      <c r="F74">
        <v>928</v>
      </c>
      <c r="G74">
        <v>311</v>
      </c>
      <c r="H74">
        <v>951</v>
      </c>
      <c r="I74">
        <v>603</v>
      </c>
      <c r="J74">
        <v>885</v>
      </c>
      <c r="K74">
        <v>777</v>
      </c>
      <c r="L74">
        <v>419</v>
      </c>
      <c r="M74">
        <v>820</v>
      </c>
      <c r="N74">
        <v>608</v>
      </c>
      <c r="O74">
        <v>884</v>
      </c>
    </row>
    <row r="75" spans="1:15" x14ac:dyDescent="0.25">
      <c r="A75">
        <v>17</v>
      </c>
      <c r="B75" s="10">
        <v>45552</v>
      </c>
      <c r="C75" t="s">
        <v>494</v>
      </c>
      <c r="D75" t="s">
        <v>190</v>
      </c>
      <c r="E75" t="s">
        <v>413</v>
      </c>
      <c r="F75">
        <v>814</v>
      </c>
      <c r="G75">
        <v>405</v>
      </c>
      <c r="H75">
        <v>289</v>
      </c>
      <c r="I75">
        <v>295</v>
      </c>
      <c r="J75">
        <v>740</v>
      </c>
      <c r="K75">
        <v>325</v>
      </c>
      <c r="L75">
        <v>764</v>
      </c>
      <c r="M75">
        <v>628</v>
      </c>
      <c r="N75">
        <v>379</v>
      </c>
      <c r="O75">
        <v>587</v>
      </c>
    </row>
    <row r="76" spans="1:15" x14ac:dyDescent="0.25">
      <c r="A76">
        <v>14</v>
      </c>
      <c r="B76" s="10">
        <v>45487</v>
      </c>
      <c r="C76" t="s">
        <v>495</v>
      </c>
      <c r="D76" t="s">
        <v>13</v>
      </c>
      <c r="E76" t="s">
        <v>411</v>
      </c>
      <c r="F76">
        <v>893</v>
      </c>
      <c r="G76">
        <v>283</v>
      </c>
      <c r="H76">
        <v>335</v>
      </c>
      <c r="I76">
        <v>170</v>
      </c>
      <c r="J76">
        <v>676</v>
      </c>
      <c r="K76">
        <v>776</v>
      </c>
      <c r="L76">
        <v>403</v>
      </c>
      <c r="M76">
        <v>605</v>
      </c>
      <c r="N76">
        <v>144</v>
      </c>
      <c r="O76">
        <v>36</v>
      </c>
    </row>
    <row r="77" spans="1:15" x14ac:dyDescent="0.25">
      <c r="A77">
        <v>22</v>
      </c>
      <c r="B77" s="10">
        <v>45587</v>
      </c>
      <c r="C77" t="s">
        <v>496</v>
      </c>
      <c r="D77" t="s">
        <v>587</v>
      </c>
      <c r="E77" t="s">
        <v>419</v>
      </c>
      <c r="F77">
        <v>821</v>
      </c>
      <c r="G77">
        <v>461</v>
      </c>
      <c r="H77">
        <v>481</v>
      </c>
      <c r="I77">
        <v>502</v>
      </c>
      <c r="J77">
        <v>753</v>
      </c>
      <c r="K77">
        <v>993</v>
      </c>
      <c r="L77">
        <v>380</v>
      </c>
      <c r="M77">
        <v>115</v>
      </c>
      <c r="N77">
        <v>606</v>
      </c>
      <c r="O77">
        <v>604</v>
      </c>
    </row>
    <row r="78" spans="1:15" x14ac:dyDescent="0.25">
      <c r="A78">
        <v>13</v>
      </c>
      <c r="B78" s="10">
        <v>45486</v>
      </c>
      <c r="C78" t="s">
        <v>497</v>
      </c>
      <c r="D78" t="s">
        <v>15</v>
      </c>
      <c r="E78" t="s">
        <v>588</v>
      </c>
      <c r="F78">
        <v>88</v>
      </c>
      <c r="G78">
        <v>965</v>
      </c>
      <c r="H78">
        <v>174</v>
      </c>
      <c r="I78">
        <v>181</v>
      </c>
      <c r="J78">
        <v>959</v>
      </c>
      <c r="K78">
        <v>134</v>
      </c>
      <c r="L78">
        <v>205</v>
      </c>
      <c r="M78">
        <v>494</v>
      </c>
      <c r="N78">
        <v>190</v>
      </c>
      <c r="O78">
        <v>774</v>
      </c>
    </row>
    <row r="79" spans="1:15" x14ac:dyDescent="0.25">
      <c r="A79">
        <v>16</v>
      </c>
      <c r="B79" s="10">
        <v>45398</v>
      </c>
      <c r="C79" t="s">
        <v>498</v>
      </c>
      <c r="D79" t="s">
        <v>12</v>
      </c>
      <c r="E79" t="s">
        <v>414</v>
      </c>
      <c r="F79">
        <v>886</v>
      </c>
      <c r="G79">
        <v>715</v>
      </c>
      <c r="H79">
        <v>730</v>
      </c>
      <c r="I79">
        <v>34</v>
      </c>
      <c r="J79">
        <v>766</v>
      </c>
      <c r="K79">
        <v>141</v>
      </c>
      <c r="L79">
        <v>368</v>
      </c>
      <c r="M79">
        <v>857</v>
      </c>
      <c r="N79">
        <v>180</v>
      </c>
      <c r="O79">
        <v>628</v>
      </c>
    </row>
    <row r="80" spans="1:15" x14ac:dyDescent="0.25">
      <c r="A80">
        <v>12</v>
      </c>
      <c r="B80" s="10">
        <v>45485</v>
      </c>
      <c r="C80" t="s">
        <v>499</v>
      </c>
      <c r="D80" t="s">
        <v>13</v>
      </c>
      <c r="E80" t="s">
        <v>413</v>
      </c>
      <c r="F80">
        <v>644</v>
      </c>
      <c r="G80">
        <v>759</v>
      </c>
      <c r="H80">
        <v>512</v>
      </c>
      <c r="I80">
        <v>488</v>
      </c>
      <c r="J80">
        <v>576</v>
      </c>
      <c r="K80">
        <v>397</v>
      </c>
      <c r="L80">
        <v>839</v>
      </c>
      <c r="M80">
        <v>26</v>
      </c>
      <c r="N80">
        <v>821</v>
      </c>
      <c r="O80">
        <v>420</v>
      </c>
    </row>
    <row r="81" spans="1:15" x14ac:dyDescent="0.25">
      <c r="A81">
        <v>18</v>
      </c>
      <c r="B81" s="10">
        <v>45461</v>
      </c>
      <c r="C81" t="s">
        <v>500</v>
      </c>
      <c r="D81" t="s">
        <v>52</v>
      </c>
      <c r="E81" t="s">
        <v>411</v>
      </c>
      <c r="F81">
        <v>607</v>
      </c>
      <c r="G81">
        <v>72</v>
      </c>
      <c r="H81">
        <v>77</v>
      </c>
      <c r="I81">
        <v>845</v>
      </c>
      <c r="J81">
        <v>310</v>
      </c>
      <c r="K81">
        <v>355</v>
      </c>
      <c r="L81">
        <v>653</v>
      </c>
      <c r="M81">
        <v>220</v>
      </c>
      <c r="N81">
        <v>223</v>
      </c>
      <c r="O81">
        <v>514</v>
      </c>
    </row>
    <row r="82" spans="1:15" x14ac:dyDescent="0.25">
      <c r="A82">
        <v>22</v>
      </c>
      <c r="B82" s="10">
        <v>45313</v>
      </c>
      <c r="C82" t="s">
        <v>501</v>
      </c>
      <c r="D82" t="s">
        <v>12</v>
      </c>
      <c r="E82" t="s">
        <v>413</v>
      </c>
      <c r="F82">
        <v>140</v>
      </c>
      <c r="G82">
        <v>447</v>
      </c>
      <c r="H82">
        <v>458</v>
      </c>
      <c r="I82">
        <v>992</v>
      </c>
      <c r="J82">
        <v>717</v>
      </c>
      <c r="K82">
        <v>682</v>
      </c>
      <c r="L82">
        <v>863</v>
      </c>
      <c r="M82">
        <v>195</v>
      </c>
      <c r="N82">
        <v>339</v>
      </c>
      <c r="O82">
        <v>659</v>
      </c>
    </row>
    <row r="83" spans="1:15" x14ac:dyDescent="0.25">
      <c r="A83">
        <v>12</v>
      </c>
      <c r="B83" s="10">
        <v>45638</v>
      </c>
      <c r="C83" t="s">
        <v>502</v>
      </c>
      <c r="D83" t="s">
        <v>12</v>
      </c>
      <c r="E83" t="s">
        <v>588</v>
      </c>
      <c r="F83">
        <v>984</v>
      </c>
      <c r="G83">
        <v>998</v>
      </c>
      <c r="H83">
        <v>554</v>
      </c>
      <c r="I83">
        <v>522</v>
      </c>
      <c r="J83">
        <v>268</v>
      </c>
      <c r="K83">
        <v>65</v>
      </c>
      <c r="L83">
        <v>679</v>
      </c>
      <c r="M83">
        <v>560</v>
      </c>
      <c r="N83">
        <v>517</v>
      </c>
      <c r="O83">
        <v>376</v>
      </c>
    </row>
    <row r="84" spans="1:15" x14ac:dyDescent="0.25">
      <c r="A84">
        <v>22</v>
      </c>
      <c r="B84" s="10">
        <v>45557</v>
      </c>
      <c r="C84" t="s">
        <v>503</v>
      </c>
      <c r="D84" t="s">
        <v>587</v>
      </c>
      <c r="E84" t="s">
        <v>413</v>
      </c>
      <c r="F84">
        <v>976</v>
      </c>
      <c r="G84">
        <v>55</v>
      </c>
      <c r="H84">
        <v>816</v>
      </c>
      <c r="I84">
        <v>380</v>
      </c>
      <c r="J84">
        <v>496</v>
      </c>
      <c r="K84">
        <v>324</v>
      </c>
      <c r="L84">
        <v>287</v>
      </c>
      <c r="M84">
        <v>653</v>
      </c>
      <c r="N84">
        <v>344</v>
      </c>
      <c r="O84">
        <v>729</v>
      </c>
    </row>
    <row r="85" spans="1:15" x14ac:dyDescent="0.25">
      <c r="A85">
        <v>19</v>
      </c>
      <c r="B85" s="10">
        <v>45462</v>
      </c>
      <c r="C85" t="s">
        <v>504</v>
      </c>
      <c r="D85" t="s">
        <v>587</v>
      </c>
      <c r="E85" t="s">
        <v>411</v>
      </c>
      <c r="F85">
        <v>597</v>
      </c>
      <c r="G85">
        <v>611</v>
      </c>
      <c r="H85">
        <v>74</v>
      </c>
      <c r="I85">
        <v>708</v>
      </c>
      <c r="J85">
        <v>425</v>
      </c>
      <c r="K85">
        <v>426</v>
      </c>
      <c r="L85">
        <v>257</v>
      </c>
      <c r="M85">
        <v>747</v>
      </c>
      <c r="N85">
        <v>20</v>
      </c>
      <c r="O85">
        <v>346</v>
      </c>
    </row>
    <row r="86" spans="1:15" x14ac:dyDescent="0.25">
      <c r="A86">
        <v>1</v>
      </c>
      <c r="B86" s="10">
        <v>45597</v>
      </c>
      <c r="C86" t="s">
        <v>505</v>
      </c>
      <c r="D86" t="s">
        <v>13</v>
      </c>
      <c r="E86" t="s">
        <v>193</v>
      </c>
      <c r="F86">
        <v>232</v>
      </c>
      <c r="G86">
        <v>105</v>
      </c>
      <c r="H86">
        <v>781</v>
      </c>
      <c r="I86">
        <v>406</v>
      </c>
      <c r="J86">
        <v>539</v>
      </c>
      <c r="K86">
        <v>688</v>
      </c>
      <c r="L86">
        <v>186</v>
      </c>
      <c r="M86">
        <v>747</v>
      </c>
      <c r="N86">
        <v>479</v>
      </c>
      <c r="O86">
        <v>407</v>
      </c>
    </row>
    <row r="87" spans="1:15" x14ac:dyDescent="0.25">
      <c r="A87">
        <v>3</v>
      </c>
      <c r="B87" s="10">
        <v>45415</v>
      </c>
      <c r="C87" t="s">
        <v>506</v>
      </c>
      <c r="D87" t="s">
        <v>13</v>
      </c>
      <c r="E87" t="s">
        <v>419</v>
      </c>
      <c r="F87">
        <v>457</v>
      </c>
      <c r="G87">
        <v>679</v>
      </c>
      <c r="H87">
        <v>203</v>
      </c>
      <c r="I87">
        <v>611</v>
      </c>
      <c r="J87">
        <v>129</v>
      </c>
      <c r="K87">
        <v>902</v>
      </c>
      <c r="L87">
        <v>613</v>
      </c>
      <c r="M87">
        <v>751</v>
      </c>
      <c r="N87">
        <v>304</v>
      </c>
      <c r="O87">
        <v>681</v>
      </c>
    </row>
    <row r="88" spans="1:15" x14ac:dyDescent="0.25">
      <c r="A88">
        <v>9</v>
      </c>
      <c r="B88" s="10">
        <v>45574</v>
      </c>
      <c r="C88" t="s">
        <v>507</v>
      </c>
      <c r="D88" t="s">
        <v>52</v>
      </c>
      <c r="E88" t="s">
        <v>419</v>
      </c>
      <c r="F88">
        <v>969</v>
      </c>
      <c r="G88">
        <v>777</v>
      </c>
      <c r="H88">
        <v>804</v>
      </c>
      <c r="I88">
        <v>486</v>
      </c>
      <c r="J88">
        <v>888</v>
      </c>
      <c r="K88">
        <v>378</v>
      </c>
      <c r="L88">
        <v>822</v>
      </c>
      <c r="M88">
        <v>532</v>
      </c>
      <c r="N88">
        <v>912</v>
      </c>
      <c r="O88">
        <v>712</v>
      </c>
    </row>
    <row r="89" spans="1:15" x14ac:dyDescent="0.25">
      <c r="A89">
        <v>30</v>
      </c>
      <c r="B89" s="10">
        <v>45503</v>
      </c>
      <c r="C89" t="s">
        <v>508</v>
      </c>
      <c r="D89" t="s">
        <v>190</v>
      </c>
      <c r="E89" t="s">
        <v>411</v>
      </c>
      <c r="F89">
        <v>935</v>
      </c>
      <c r="G89">
        <v>387</v>
      </c>
      <c r="H89">
        <v>869</v>
      </c>
      <c r="I89">
        <v>366</v>
      </c>
      <c r="J89">
        <v>128</v>
      </c>
      <c r="K89">
        <v>650</v>
      </c>
      <c r="L89">
        <v>507</v>
      </c>
      <c r="M89">
        <v>745</v>
      </c>
      <c r="N89">
        <v>904</v>
      </c>
      <c r="O89">
        <v>244</v>
      </c>
    </row>
    <row r="90" spans="1:15" x14ac:dyDescent="0.25">
      <c r="A90">
        <v>20</v>
      </c>
      <c r="B90" s="10">
        <v>45371</v>
      </c>
      <c r="C90" t="s">
        <v>509</v>
      </c>
      <c r="D90" t="s">
        <v>15</v>
      </c>
      <c r="E90" t="s">
        <v>419</v>
      </c>
      <c r="F90">
        <v>32</v>
      </c>
      <c r="G90">
        <v>245</v>
      </c>
      <c r="H90">
        <v>395</v>
      </c>
      <c r="I90">
        <v>626</v>
      </c>
      <c r="J90">
        <v>889</v>
      </c>
      <c r="K90">
        <v>673</v>
      </c>
      <c r="L90">
        <v>883</v>
      </c>
      <c r="M90">
        <v>824</v>
      </c>
      <c r="N90">
        <v>527</v>
      </c>
      <c r="O90">
        <v>403</v>
      </c>
    </row>
    <row r="91" spans="1:15" x14ac:dyDescent="0.25">
      <c r="A91">
        <v>21</v>
      </c>
      <c r="B91" s="10">
        <v>45556</v>
      </c>
      <c r="C91" t="s">
        <v>510</v>
      </c>
      <c r="D91" t="s">
        <v>52</v>
      </c>
      <c r="E91" t="s">
        <v>419</v>
      </c>
      <c r="F91">
        <v>555</v>
      </c>
      <c r="G91">
        <v>886</v>
      </c>
      <c r="H91">
        <v>586</v>
      </c>
      <c r="I91">
        <v>956</v>
      </c>
      <c r="J91">
        <v>489</v>
      </c>
      <c r="K91">
        <v>435</v>
      </c>
      <c r="L91">
        <v>360</v>
      </c>
      <c r="M91">
        <v>412</v>
      </c>
      <c r="N91">
        <v>535</v>
      </c>
      <c r="O91">
        <v>957</v>
      </c>
    </row>
    <row r="92" spans="1:15" x14ac:dyDescent="0.25">
      <c r="A92">
        <v>16</v>
      </c>
      <c r="B92" s="10">
        <v>45642</v>
      </c>
      <c r="C92" t="s">
        <v>511</v>
      </c>
      <c r="D92" t="s">
        <v>587</v>
      </c>
      <c r="E92" t="s">
        <v>588</v>
      </c>
      <c r="F92">
        <v>272</v>
      </c>
      <c r="G92">
        <v>65</v>
      </c>
      <c r="H92">
        <v>578</v>
      </c>
      <c r="I92">
        <v>492</v>
      </c>
      <c r="J92">
        <v>227</v>
      </c>
      <c r="K92">
        <v>459</v>
      </c>
      <c r="L92">
        <v>977</v>
      </c>
      <c r="M92">
        <v>719</v>
      </c>
      <c r="N92">
        <v>260</v>
      </c>
      <c r="O92">
        <v>363</v>
      </c>
    </row>
    <row r="93" spans="1:15" x14ac:dyDescent="0.25">
      <c r="A93">
        <v>12</v>
      </c>
      <c r="B93" s="10">
        <v>45516</v>
      </c>
      <c r="C93" t="s">
        <v>512</v>
      </c>
      <c r="D93" t="s">
        <v>587</v>
      </c>
      <c r="E93" t="s">
        <v>414</v>
      </c>
      <c r="F93">
        <v>418</v>
      </c>
      <c r="G93">
        <v>763</v>
      </c>
      <c r="H93">
        <v>467</v>
      </c>
      <c r="I93">
        <v>723</v>
      </c>
      <c r="J93">
        <v>783</v>
      </c>
      <c r="K93">
        <v>146</v>
      </c>
      <c r="L93">
        <v>996</v>
      </c>
      <c r="M93">
        <v>291</v>
      </c>
      <c r="N93">
        <v>945</v>
      </c>
      <c r="O93">
        <v>115</v>
      </c>
    </row>
    <row r="94" spans="1:15" x14ac:dyDescent="0.25">
      <c r="A94">
        <v>4</v>
      </c>
      <c r="B94" s="10">
        <v>45355</v>
      </c>
      <c r="C94" t="s">
        <v>513</v>
      </c>
      <c r="D94" t="s">
        <v>52</v>
      </c>
      <c r="E94" t="s">
        <v>411</v>
      </c>
      <c r="F94">
        <v>134</v>
      </c>
      <c r="G94">
        <v>60</v>
      </c>
      <c r="H94">
        <v>840</v>
      </c>
      <c r="I94">
        <v>940</v>
      </c>
      <c r="J94">
        <v>56</v>
      </c>
      <c r="K94">
        <v>513</v>
      </c>
      <c r="L94">
        <v>184</v>
      </c>
      <c r="M94">
        <v>344</v>
      </c>
      <c r="N94">
        <v>732</v>
      </c>
      <c r="O94">
        <v>551</v>
      </c>
    </row>
    <row r="95" spans="1:15" x14ac:dyDescent="0.25">
      <c r="A95">
        <v>3</v>
      </c>
      <c r="B95" s="10">
        <v>45538</v>
      </c>
      <c r="C95" t="s">
        <v>514</v>
      </c>
      <c r="D95" t="s">
        <v>12</v>
      </c>
      <c r="E95" t="s">
        <v>419</v>
      </c>
      <c r="F95">
        <v>831</v>
      </c>
      <c r="G95">
        <v>337</v>
      </c>
      <c r="H95">
        <v>619</v>
      </c>
      <c r="I95">
        <v>595</v>
      </c>
      <c r="J95">
        <v>343</v>
      </c>
      <c r="K95">
        <v>75</v>
      </c>
      <c r="L95">
        <v>729</v>
      </c>
      <c r="M95">
        <v>75</v>
      </c>
      <c r="N95">
        <v>948</v>
      </c>
      <c r="O95">
        <v>461</v>
      </c>
    </row>
    <row r="96" spans="1:15" x14ac:dyDescent="0.25">
      <c r="A96">
        <v>16</v>
      </c>
      <c r="B96" s="10">
        <v>45428</v>
      </c>
      <c r="C96" t="s">
        <v>515</v>
      </c>
      <c r="D96" t="s">
        <v>587</v>
      </c>
      <c r="E96" t="s">
        <v>193</v>
      </c>
      <c r="F96">
        <v>993</v>
      </c>
      <c r="G96">
        <v>856</v>
      </c>
      <c r="H96">
        <v>246</v>
      </c>
      <c r="I96">
        <v>996</v>
      </c>
      <c r="J96">
        <v>217</v>
      </c>
      <c r="K96">
        <v>940</v>
      </c>
      <c r="L96">
        <v>994</v>
      </c>
      <c r="M96">
        <v>958</v>
      </c>
      <c r="N96">
        <v>697</v>
      </c>
      <c r="O96">
        <v>117</v>
      </c>
    </row>
    <row r="97" spans="1:15" x14ac:dyDescent="0.25">
      <c r="A97">
        <v>14</v>
      </c>
      <c r="B97" s="10">
        <v>45518</v>
      </c>
      <c r="C97" t="s">
        <v>516</v>
      </c>
      <c r="D97" t="s">
        <v>13</v>
      </c>
      <c r="E97" t="s">
        <v>193</v>
      </c>
      <c r="F97">
        <v>434</v>
      </c>
      <c r="G97">
        <v>915</v>
      </c>
      <c r="H97">
        <v>437</v>
      </c>
      <c r="I97">
        <v>728</v>
      </c>
      <c r="J97">
        <v>580</v>
      </c>
      <c r="K97">
        <v>953</v>
      </c>
      <c r="L97">
        <v>53</v>
      </c>
      <c r="M97">
        <v>815</v>
      </c>
      <c r="N97">
        <v>743</v>
      </c>
      <c r="O97">
        <v>944</v>
      </c>
    </row>
    <row r="98" spans="1:15" x14ac:dyDescent="0.25">
      <c r="A98">
        <v>8</v>
      </c>
      <c r="B98" s="10">
        <v>45481</v>
      </c>
      <c r="C98" t="s">
        <v>517</v>
      </c>
      <c r="D98" t="s">
        <v>190</v>
      </c>
      <c r="E98" t="s">
        <v>411</v>
      </c>
      <c r="F98">
        <v>276</v>
      </c>
      <c r="G98">
        <v>555</v>
      </c>
      <c r="H98">
        <v>294</v>
      </c>
      <c r="I98">
        <v>65</v>
      </c>
      <c r="J98">
        <v>416</v>
      </c>
      <c r="K98">
        <v>496</v>
      </c>
      <c r="L98">
        <v>384</v>
      </c>
      <c r="M98">
        <v>841</v>
      </c>
      <c r="N98">
        <v>995</v>
      </c>
      <c r="O98">
        <v>835</v>
      </c>
    </row>
    <row r="99" spans="1:15" x14ac:dyDescent="0.25">
      <c r="A99">
        <v>17</v>
      </c>
      <c r="B99" s="10">
        <v>45582</v>
      </c>
      <c r="C99" t="s">
        <v>518</v>
      </c>
      <c r="D99" t="s">
        <v>52</v>
      </c>
      <c r="E99" t="s">
        <v>411</v>
      </c>
      <c r="F99">
        <v>702</v>
      </c>
      <c r="G99">
        <v>420</v>
      </c>
      <c r="H99">
        <v>133</v>
      </c>
      <c r="I99">
        <v>13</v>
      </c>
      <c r="J99">
        <v>290</v>
      </c>
      <c r="K99">
        <v>394</v>
      </c>
      <c r="L99">
        <v>980</v>
      </c>
      <c r="M99">
        <v>406</v>
      </c>
      <c r="N99">
        <v>327</v>
      </c>
      <c r="O99">
        <v>687</v>
      </c>
    </row>
    <row r="100" spans="1:15" x14ac:dyDescent="0.25">
      <c r="A100">
        <v>5</v>
      </c>
      <c r="B100" s="10">
        <v>45327</v>
      </c>
      <c r="C100" t="s">
        <v>519</v>
      </c>
      <c r="D100" t="s">
        <v>13</v>
      </c>
      <c r="E100" t="s">
        <v>588</v>
      </c>
      <c r="F100">
        <v>882</v>
      </c>
      <c r="G100">
        <v>41</v>
      </c>
      <c r="H100">
        <v>385</v>
      </c>
      <c r="I100">
        <v>702</v>
      </c>
      <c r="J100">
        <v>226</v>
      </c>
      <c r="K100">
        <v>730</v>
      </c>
      <c r="L100">
        <v>596</v>
      </c>
      <c r="M100">
        <v>102</v>
      </c>
      <c r="N100">
        <v>924</v>
      </c>
      <c r="O100">
        <v>182</v>
      </c>
    </row>
    <row r="101" spans="1:15" x14ac:dyDescent="0.25">
      <c r="A101">
        <v>8</v>
      </c>
      <c r="B101" s="10">
        <v>45359</v>
      </c>
      <c r="C101" t="s">
        <v>520</v>
      </c>
      <c r="D101" t="s">
        <v>190</v>
      </c>
      <c r="E101" t="s">
        <v>413</v>
      </c>
      <c r="F101">
        <v>810</v>
      </c>
      <c r="G101">
        <v>793</v>
      </c>
      <c r="H101">
        <v>456</v>
      </c>
      <c r="I101">
        <v>594</v>
      </c>
      <c r="J101">
        <v>226</v>
      </c>
      <c r="K101">
        <v>217</v>
      </c>
      <c r="L101">
        <v>919</v>
      </c>
      <c r="M101">
        <v>489</v>
      </c>
      <c r="N101">
        <v>726</v>
      </c>
      <c r="O101">
        <v>690</v>
      </c>
    </row>
    <row r="102" spans="1:15" x14ac:dyDescent="0.25">
      <c r="A102">
        <v>9</v>
      </c>
      <c r="B102" s="10">
        <v>45421</v>
      </c>
      <c r="C102" t="s">
        <v>521</v>
      </c>
      <c r="D102" t="s">
        <v>52</v>
      </c>
      <c r="E102" t="s">
        <v>419</v>
      </c>
      <c r="F102">
        <v>936</v>
      </c>
      <c r="G102">
        <v>163</v>
      </c>
      <c r="H102">
        <v>909</v>
      </c>
      <c r="I102">
        <v>816</v>
      </c>
      <c r="J102">
        <v>619</v>
      </c>
      <c r="K102">
        <v>909</v>
      </c>
      <c r="L102">
        <v>962</v>
      </c>
      <c r="M102">
        <v>451</v>
      </c>
      <c r="N102">
        <v>708</v>
      </c>
      <c r="O102">
        <v>131</v>
      </c>
    </row>
    <row r="103" spans="1:15" x14ac:dyDescent="0.25">
      <c r="A103">
        <v>9</v>
      </c>
      <c r="B103" s="10">
        <v>45421</v>
      </c>
      <c r="C103" t="s">
        <v>522</v>
      </c>
      <c r="D103" t="s">
        <v>52</v>
      </c>
      <c r="E103" t="s">
        <v>419</v>
      </c>
      <c r="F103">
        <v>363</v>
      </c>
      <c r="G103">
        <v>86</v>
      </c>
      <c r="H103">
        <v>620</v>
      </c>
      <c r="I103">
        <v>50</v>
      </c>
      <c r="J103">
        <v>943</v>
      </c>
      <c r="K103">
        <v>775</v>
      </c>
      <c r="L103">
        <v>330</v>
      </c>
      <c r="M103">
        <v>324</v>
      </c>
      <c r="N103">
        <v>984</v>
      </c>
      <c r="O103">
        <v>897</v>
      </c>
    </row>
    <row r="104" spans="1:15" x14ac:dyDescent="0.25">
      <c r="A104">
        <v>3</v>
      </c>
      <c r="B104" s="10">
        <v>45446</v>
      </c>
      <c r="C104" t="s">
        <v>523</v>
      </c>
      <c r="D104" t="s">
        <v>15</v>
      </c>
      <c r="E104" t="s">
        <v>193</v>
      </c>
      <c r="F104">
        <v>453</v>
      </c>
      <c r="G104">
        <v>802</v>
      </c>
      <c r="H104">
        <v>658</v>
      </c>
      <c r="I104">
        <v>527</v>
      </c>
      <c r="J104">
        <v>36</v>
      </c>
      <c r="K104">
        <v>441</v>
      </c>
      <c r="L104">
        <v>159</v>
      </c>
      <c r="M104">
        <v>619</v>
      </c>
      <c r="N104">
        <v>225</v>
      </c>
      <c r="O104">
        <v>326</v>
      </c>
    </row>
    <row r="105" spans="1:15" x14ac:dyDescent="0.25">
      <c r="A105">
        <v>15</v>
      </c>
      <c r="B105" s="10">
        <v>45397</v>
      </c>
      <c r="C105" t="s">
        <v>524</v>
      </c>
      <c r="D105" t="s">
        <v>52</v>
      </c>
      <c r="E105" t="s">
        <v>419</v>
      </c>
      <c r="F105">
        <v>506</v>
      </c>
      <c r="G105">
        <v>488</v>
      </c>
      <c r="H105">
        <v>857</v>
      </c>
      <c r="I105">
        <v>153</v>
      </c>
      <c r="J105">
        <v>482</v>
      </c>
      <c r="K105">
        <v>675</v>
      </c>
      <c r="L105">
        <v>630</v>
      </c>
      <c r="M105">
        <v>466</v>
      </c>
      <c r="N105">
        <v>834</v>
      </c>
      <c r="O105">
        <v>580</v>
      </c>
    </row>
    <row r="106" spans="1:15" x14ac:dyDescent="0.25">
      <c r="A106">
        <v>13</v>
      </c>
      <c r="B106" s="10">
        <v>45395</v>
      </c>
      <c r="C106" t="s">
        <v>525</v>
      </c>
      <c r="D106" t="s">
        <v>15</v>
      </c>
      <c r="E106" t="s">
        <v>419</v>
      </c>
      <c r="F106">
        <v>218</v>
      </c>
      <c r="G106">
        <v>723</v>
      </c>
      <c r="H106">
        <v>457</v>
      </c>
      <c r="I106">
        <v>370</v>
      </c>
      <c r="J106">
        <v>389</v>
      </c>
      <c r="K106">
        <v>544</v>
      </c>
      <c r="L106">
        <v>815</v>
      </c>
      <c r="M106">
        <v>574</v>
      </c>
      <c r="N106">
        <v>892</v>
      </c>
      <c r="O106">
        <v>903</v>
      </c>
    </row>
    <row r="107" spans="1:15" x14ac:dyDescent="0.25">
      <c r="A107">
        <v>15</v>
      </c>
      <c r="B107" s="10">
        <v>45580</v>
      </c>
      <c r="C107" t="s">
        <v>526</v>
      </c>
      <c r="D107" t="s">
        <v>52</v>
      </c>
      <c r="E107" t="s">
        <v>588</v>
      </c>
      <c r="F107">
        <v>555</v>
      </c>
      <c r="G107">
        <v>118</v>
      </c>
      <c r="H107">
        <v>313</v>
      </c>
      <c r="I107">
        <v>70</v>
      </c>
      <c r="J107">
        <v>905</v>
      </c>
      <c r="K107">
        <v>447</v>
      </c>
      <c r="L107">
        <v>938</v>
      </c>
      <c r="M107">
        <v>96</v>
      </c>
      <c r="N107">
        <v>277</v>
      </c>
      <c r="O107">
        <v>611</v>
      </c>
    </row>
    <row r="108" spans="1:15" x14ac:dyDescent="0.25">
      <c r="A108">
        <v>16</v>
      </c>
      <c r="B108" s="10">
        <v>45338</v>
      </c>
      <c r="C108" t="s">
        <v>527</v>
      </c>
      <c r="D108" t="s">
        <v>587</v>
      </c>
      <c r="E108" t="s">
        <v>588</v>
      </c>
      <c r="F108">
        <v>271</v>
      </c>
      <c r="G108">
        <v>160</v>
      </c>
      <c r="H108">
        <v>450</v>
      </c>
      <c r="I108">
        <v>336</v>
      </c>
      <c r="J108">
        <v>415</v>
      </c>
      <c r="K108">
        <v>223</v>
      </c>
      <c r="L108">
        <v>901</v>
      </c>
      <c r="M108">
        <v>439</v>
      </c>
      <c r="N108">
        <v>118</v>
      </c>
      <c r="O108">
        <v>643</v>
      </c>
    </row>
    <row r="109" spans="1:15" x14ac:dyDescent="0.25">
      <c r="A109">
        <v>9</v>
      </c>
      <c r="B109" s="10">
        <v>45635</v>
      </c>
      <c r="C109" t="s">
        <v>528</v>
      </c>
      <c r="D109" t="s">
        <v>587</v>
      </c>
      <c r="E109" t="s">
        <v>419</v>
      </c>
      <c r="F109">
        <v>710</v>
      </c>
      <c r="G109">
        <v>85</v>
      </c>
      <c r="H109">
        <v>45</v>
      </c>
      <c r="I109">
        <v>580</v>
      </c>
      <c r="J109">
        <v>47</v>
      </c>
      <c r="K109">
        <v>247</v>
      </c>
      <c r="L109">
        <v>548</v>
      </c>
      <c r="M109">
        <v>229</v>
      </c>
      <c r="N109">
        <v>491</v>
      </c>
      <c r="O109">
        <v>3</v>
      </c>
    </row>
    <row r="110" spans="1:15" x14ac:dyDescent="0.25">
      <c r="A110">
        <v>6</v>
      </c>
      <c r="B110" s="10">
        <v>45479</v>
      </c>
      <c r="C110" t="s">
        <v>529</v>
      </c>
      <c r="D110" t="s">
        <v>12</v>
      </c>
      <c r="E110" t="s">
        <v>419</v>
      </c>
      <c r="F110">
        <v>425</v>
      </c>
      <c r="G110">
        <v>247</v>
      </c>
      <c r="H110">
        <v>235</v>
      </c>
      <c r="I110">
        <v>494</v>
      </c>
      <c r="J110">
        <v>603</v>
      </c>
      <c r="K110">
        <v>289</v>
      </c>
      <c r="L110">
        <v>705</v>
      </c>
      <c r="M110">
        <v>161</v>
      </c>
      <c r="N110">
        <v>848</v>
      </c>
      <c r="O110">
        <v>420</v>
      </c>
    </row>
    <row r="111" spans="1:15" x14ac:dyDescent="0.25">
      <c r="A111">
        <v>29</v>
      </c>
      <c r="B111" s="10">
        <v>45441</v>
      </c>
      <c r="C111" t="s">
        <v>530</v>
      </c>
      <c r="D111" t="s">
        <v>12</v>
      </c>
      <c r="E111" t="s">
        <v>193</v>
      </c>
      <c r="F111">
        <v>468</v>
      </c>
      <c r="G111">
        <v>650</v>
      </c>
      <c r="H111">
        <v>131</v>
      </c>
      <c r="I111">
        <v>616</v>
      </c>
      <c r="J111">
        <v>152</v>
      </c>
      <c r="K111">
        <v>120</v>
      </c>
      <c r="L111">
        <v>484</v>
      </c>
      <c r="M111">
        <v>266</v>
      </c>
      <c r="N111">
        <v>576</v>
      </c>
      <c r="O111">
        <v>499</v>
      </c>
    </row>
    <row r="112" spans="1:15" x14ac:dyDescent="0.25">
      <c r="A112">
        <v>12</v>
      </c>
      <c r="B112" s="10">
        <v>45608</v>
      </c>
      <c r="C112" t="s">
        <v>531</v>
      </c>
      <c r="D112" t="s">
        <v>587</v>
      </c>
      <c r="E112" t="s">
        <v>413</v>
      </c>
      <c r="F112">
        <v>615</v>
      </c>
      <c r="G112">
        <v>980</v>
      </c>
      <c r="H112">
        <v>973</v>
      </c>
      <c r="I112">
        <v>535</v>
      </c>
      <c r="J112">
        <v>707</v>
      </c>
      <c r="K112">
        <v>999</v>
      </c>
      <c r="L112">
        <v>322</v>
      </c>
      <c r="M112">
        <v>897</v>
      </c>
      <c r="N112">
        <v>410</v>
      </c>
      <c r="O112">
        <v>718</v>
      </c>
    </row>
    <row r="113" spans="1:15" x14ac:dyDescent="0.25">
      <c r="A113">
        <v>22</v>
      </c>
      <c r="B113" s="10">
        <v>45587</v>
      </c>
      <c r="C113" t="s">
        <v>532</v>
      </c>
      <c r="D113" t="s">
        <v>52</v>
      </c>
      <c r="E113" t="s">
        <v>193</v>
      </c>
      <c r="F113">
        <v>224</v>
      </c>
      <c r="G113">
        <v>388</v>
      </c>
      <c r="H113">
        <v>484</v>
      </c>
      <c r="I113">
        <v>54</v>
      </c>
      <c r="J113">
        <v>328</v>
      </c>
      <c r="K113">
        <v>435</v>
      </c>
      <c r="L113">
        <v>731</v>
      </c>
      <c r="M113">
        <v>690</v>
      </c>
      <c r="N113">
        <v>284</v>
      </c>
      <c r="O113">
        <v>68</v>
      </c>
    </row>
    <row r="114" spans="1:15" x14ac:dyDescent="0.25">
      <c r="A114">
        <v>29</v>
      </c>
      <c r="B114" s="10">
        <v>45502</v>
      </c>
      <c r="C114" t="s">
        <v>533</v>
      </c>
      <c r="D114" t="s">
        <v>52</v>
      </c>
      <c r="E114" t="s">
        <v>419</v>
      </c>
      <c r="F114">
        <v>736</v>
      </c>
      <c r="G114">
        <v>209</v>
      </c>
      <c r="H114">
        <v>147</v>
      </c>
      <c r="I114">
        <v>14</v>
      </c>
      <c r="J114">
        <v>71</v>
      </c>
      <c r="K114">
        <v>237</v>
      </c>
      <c r="L114">
        <v>59</v>
      </c>
      <c r="M114">
        <v>874</v>
      </c>
      <c r="N114">
        <v>194</v>
      </c>
      <c r="O114">
        <v>646</v>
      </c>
    </row>
    <row r="115" spans="1:15" x14ac:dyDescent="0.25">
      <c r="A115">
        <v>26</v>
      </c>
      <c r="B115" s="10">
        <v>45348</v>
      </c>
      <c r="C115" t="s">
        <v>534</v>
      </c>
      <c r="D115" t="s">
        <v>12</v>
      </c>
      <c r="E115" t="s">
        <v>413</v>
      </c>
      <c r="F115">
        <v>240</v>
      </c>
      <c r="G115">
        <v>49</v>
      </c>
      <c r="H115">
        <v>272</v>
      </c>
      <c r="I115">
        <v>713</v>
      </c>
      <c r="J115">
        <v>315</v>
      </c>
      <c r="K115">
        <v>225</v>
      </c>
      <c r="L115">
        <v>350</v>
      </c>
      <c r="M115">
        <v>877</v>
      </c>
      <c r="N115">
        <v>316</v>
      </c>
      <c r="O115">
        <v>875</v>
      </c>
    </row>
    <row r="116" spans="1:15" x14ac:dyDescent="0.25">
      <c r="A116">
        <v>14</v>
      </c>
      <c r="B116" s="10">
        <v>45365</v>
      </c>
      <c r="C116" t="s">
        <v>535</v>
      </c>
      <c r="D116" t="s">
        <v>52</v>
      </c>
      <c r="E116" t="s">
        <v>414</v>
      </c>
      <c r="F116">
        <v>950</v>
      </c>
      <c r="G116">
        <v>263</v>
      </c>
      <c r="H116">
        <v>527</v>
      </c>
      <c r="I116">
        <v>760</v>
      </c>
      <c r="J116">
        <v>648</v>
      </c>
      <c r="K116">
        <v>652</v>
      </c>
      <c r="L116">
        <v>291</v>
      </c>
      <c r="M116">
        <v>528</v>
      </c>
      <c r="N116">
        <v>752</v>
      </c>
      <c r="O116">
        <v>903</v>
      </c>
    </row>
    <row r="117" spans="1:15" x14ac:dyDescent="0.25">
      <c r="A117">
        <v>9</v>
      </c>
      <c r="B117" s="10">
        <v>45421</v>
      </c>
      <c r="C117" t="s">
        <v>536</v>
      </c>
      <c r="D117" t="s">
        <v>13</v>
      </c>
      <c r="E117" t="s">
        <v>588</v>
      </c>
      <c r="F117">
        <v>691</v>
      </c>
      <c r="G117">
        <v>989</v>
      </c>
      <c r="H117">
        <v>456</v>
      </c>
      <c r="I117">
        <v>630</v>
      </c>
      <c r="J117">
        <v>137</v>
      </c>
      <c r="K117">
        <v>583</v>
      </c>
      <c r="L117">
        <v>273</v>
      </c>
      <c r="M117">
        <v>846</v>
      </c>
      <c r="N117">
        <v>864</v>
      </c>
      <c r="O117">
        <v>561</v>
      </c>
    </row>
    <row r="118" spans="1:15" x14ac:dyDescent="0.25">
      <c r="A118">
        <v>8</v>
      </c>
      <c r="B118" s="10">
        <v>45573</v>
      </c>
      <c r="C118" t="s">
        <v>537</v>
      </c>
      <c r="D118" t="s">
        <v>190</v>
      </c>
      <c r="E118" t="s">
        <v>413</v>
      </c>
      <c r="F118">
        <v>543</v>
      </c>
      <c r="G118">
        <v>368</v>
      </c>
      <c r="H118">
        <v>283</v>
      </c>
      <c r="I118">
        <v>218</v>
      </c>
      <c r="J118">
        <v>445</v>
      </c>
      <c r="K118">
        <v>570</v>
      </c>
      <c r="L118">
        <v>259</v>
      </c>
      <c r="M118">
        <v>674</v>
      </c>
      <c r="N118">
        <v>363</v>
      </c>
      <c r="O118">
        <v>175</v>
      </c>
    </row>
    <row r="119" spans="1:15" x14ac:dyDescent="0.25">
      <c r="A119">
        <v>19</v>
      </c>
      <c r="B119" s="10">
        <v>45492</v>
      </c>
      <c r="C119" t="s">
        <v>538</v>
      </c>
      <c r="D119" t="s">
        <v>15</v>
      </c>
      <c r="E119" t="s">
        <v>588</v>
      </c>
      <c r="F119">
        <v>586</v>
      </c>
      <c r="G119">
        <v>270</v>
      </c>
      <c r="H119">
        <v>927</v>
      </c>
      <c r="I119">
        <v>953</v>
      </c>
      <c r="J119">
        <v>588</v>
      </c>
      <c r="K119">
        <v>437</v>
      </c>
      <c r="L119">
        <v>264</v>
      </c>
      <c r="M119">
        <v>807</v>
      </c>
      <c r="N119">
        <v>195</v>
      </c>
      <c r="O119">
        <v>415</v>
      </c>
    </row>
    <row r="120" spans="1:15" x14ac:dyDescent="0.25">
      <c r="A120">
        <v>23</v>
      </c>
      <c r="B120" s="10">
        <v>45527</v>
      </c>
      <c r="C120" t="s">
        <v>539</v>
      </c>
      <c r="D120" t="s">
        <v>15</v>
      </c>
      <c r="E120" t="s">
        <v>193</v>
      </c>
      <c r="F120">
        <v>91</v>
      </c>
      <c r="G120">
        <v>473</v>
      </c>
      <c r="H120">
        <v>669</v>
      </c>
      <c r="I120">
        <v>891</v>
      </c>
      <c r="J120">
        <v>692</v>
      </c>
      <c r="K120">
        <v>365</v>
      </c>
      <c r="L120">
        <v>7</v>
      </c>
      <c r="M120">
        <v>381</v>
      </c>
      <c r="N120">
        <v>836</v>
      </c>
      <c r="O120">
        <v>269</v>
      </c>
    </row>
    <row r="121" spans="1:15" x14ac:dyDescent="0.25">
      <c r="A121">
        <v>13</v>
      </c>
      <c r="B121" s="10">
        <v>45517</v>
      </c>
      <c r="C121" t="s">
        <v>540</v>
      </c>
      <c r="D121" t="s">
        <v>587</v>
      </c>
      <c r="E121" t="s">
        <v>588</v>
      </c>
      <c r="F121">
        <v>830</v>
      </c>
      <c r="G121">
        <v>942</v>
      </c>
      <c r="H121">
        <v>888</v>
      </c>
      <c r="I121">
        <v>2</v>
      </c>
      <c r="J121">
        <v>686</v>
      </c>
      <c r="K121">
        <v>926</v>
      </c>
      <c r="L121">
        <v>21</v>
      </c>
      <c r="M121">
        <v>10</v>
      </c>
      <c r="N121">
        <v>419</v>
      </c>
      <c r="O121">
        <v>203</v>
      </c>
    </row>
    <row r="122" spans="1:15" x14ac:dyDescent="0.25">
      <c r="A122">
        <v>6</v>
      </c>
      <c r="B122" s="10">
        <v>45297</v>
      </c>
      <c r="C122" t="s">
        <v>541</v>
      </c>
      <c r="D122" t="s">
        <v>13</v>
      </c>
      <c r="E122" t="s">
        <v>411</v>
      </c>
      <c r="F122">
        <v>974</v>
      </c>
      <c r="G122">
        <v>42</v>
      </c>
      <c r="H122">
        <v>919</v>
      </c>
      <c r="I122">
        <v>195</v>
      </c>
      <c r="J122">
        <v>515</v>
      </c>
      <c r="K122">
        <v>165</v>
      </c>
      <c r="L122">
        <v>331</v>
      </c>
      <c r="M122">
        <v>748</v>
      </c>
      <c r="N122">
        <v>338</v>
      </c>
      <c r="O122">
        <v>713</v>
      </c>
    </row>
    <row r="123" spans="1:15" x14ac:dyDescent="0.25">
      <c r="A123">
        <v>25</v>
      </c>
      <c r="B123" s="10">
        <v>45407</v>
      </c>
      <c r="C123" t="s">
        <v>542</v>
      </c>
      <c r="D123" t="s">
        <v>190</v>
      </c>
      <c r="E123" t="s">
        <v>588</v>
      </c>
      <c r="F123">
        <v>857</v>
      </c>
      <c r="G123">
        <v>359</v>
      </c>
      <c r="H123">
        <v>131</v>
      </c>
      <c r="I123">
        <v>26</v>
      </c>
      <c r="J123">
        <v>869</v>
      </c>
      <c r="K123">
        <v>822</v>
      </c>
      <c r="L123">
        <v>302</v>
      </c>
      <c r="M123">
        <v>495</v>
      </c>
      <c r="N123">
        <v>4</v>
      </c>
      <c r="O123">
        <v>538</v>
      </c>
    </row>
    <row r="124" spans="1:15" x14ac:dyDescent="0.25">
      <c r="A124">
        <v>26</v>
      </c>
      <c r="B124" s="10">
        <v>45499</v>
      </c>
      <c r="C124" t="s">
        <v>543</v>
      </c>
      <c r="D124" t="s">
        <v>15</v>
      </c>
      <c r="E124" t="s">
        <v>411</v>
      </c>
      <c r="F124">
        <v>672</v>
      </c>
      <c r="G124">
        <v>248</v>
      </c>
      <c r="H124">
        <v>823</v>
      </c>
      <c r="I124">
        <v>828</v>
      </c>
      <c r="J124">
        <v>985</v>
      </c>
      <c r="K124">
        <v>785</v>
      </c>
      <c r="L124">
        <v>178</v>
      </c>
      <c r="M124">
        <v>18</v>
      </c>
      <c r="N124">
        <v>117</v>
      </c>
      <c r="O124">
        <v>938</v>
      </c>
    </row>
    <row r="125" spans="1:15" x14ac:dyDescent="0.25">
      <c r="A125">
        <v>1</v>
      </c>
      <c r="B125" s="10">
        <v>45323</v>
      </c>
      <c r="C125" t="s">
        <v>544</v>
      </c>
      <c r="D125" t="s">
        <v>13</v>
      </c>
      <c r="E125" t="s">
        <v>411</v>
      </c>
      <c r="F125">
        <v>809</v>
      </c>
      <c r="G125">
        <v>836</v>
      </c>
      <c r="H125">
        <v>889</v>
      </c>
      <c r="I125">
        <v>931</v>
      </c>
      <c r="J125">
        <v>18</v>
      </c>
      <c r="K125">
        <v>705</v>
      </c>
      <c r="L125">
        <v>114</v>
      </c>
      <c r="M125">
        <v>322</v>
      </c>
      <c r="N125">
        <v>35</v>
      </c>
      <c r="O125">
        <v>334</v>
      </c>
    </row>
    <row r="126" spans="1:15" x14ac:dyDescent="0.25">
      <c r="A126">
        <v>11</v>
      </c>
      <c r="B126" s="10">
        <v>45423</v>
      </c>
      <c r="C126" t="s">
        <v>545</v>
      </c>
      <c r="D126" t="s">
        <v>587</v>
      </c>
      <c r="E126" t="s">
        <v>414</v>
      </c>
      <c r="F126">
        <v>276</v>
      </c>
      <c r="G126">
        <v>163</v>
      </c>
      <c r="H126">
        <v>906</v>
      </c>
      <c r="I126">
        <v>46</v>
      </c>
      <c r="J126">
        <v>566</v>
      </c>
      <c r="K126">
        <v>62</v>
      </c>
      <c r="L126">
        <v>729</v>
      </c>
      <c r="M126">
        <v>207</v>
      </c>
      <c r="N126">
        <v>690</v>
      </c>
      <c r="O126">
        <v>375</v>
      </c>
    </row>
    <row r="127" spans="1:15" x14ac:dyDescent="0.25">
      <c r="A127">
        <v>1</v>
      </c>
      <c r="B127" s="10">
        <v>45627</v>
      </c>
      <c r="C127" t="s">
        <v>546</v>
      </c>
      <c r="D127" t="s">
        <v>52</v>
      </c>
      <c r="E127" t="s">
        <v>411</v>
      </c>
      <c r="F127">
        <v>191</v>
      </c>
      <c r="G127">
        <v>111</v>
      </c>
      <c r="H127">
        <v>961</v>
      </c>
      <c r="I127">
        <v>888</v>
      </c>
      <c r="J127">
        <v>257</v>
      </c>
      <c r="K127">
        <v>612</v>
      </c>
      <c r="L127">
        <v>142</v>
      </c>
      <c r="M127">
        <v>930</v>
      </c>
      <c r="N127">
        <v>355</v>
      </c>
      <c r="O127">
        <v>666</v>
      </c>
    </row>
    <row r="128" spans="1:15" x14ac:dyDescent="0.25">
      <c r="A128">
        <v>1</v>
      </c>
      <c r="B128" s="10">
        <v>45597</v>
      </c>
      <c r="C128" t="s">
        <v>547</v>
      </c>
      <c r="D128" t="s">
        <v>15</v>
      </c>
      <c r="E128" t="s">
        <v>588</v>
      </c>
      <c r="F128">
        <v>399</v>
      </c>
      <c r="G128">
        <v>460</v>
      </c>
      <c r="H128">
        <v>469</v>
      </c>
      <c r="I128">
        <v>801</v>
      </c>
      <c r="J128">
        <v>696</v>
      </c>
      <c r="K128">
        <v>629</v>
      </c>
      <c r="L128">
        <v>647</v>
      </c>
      <c r="M128">
        <v>284</v>
      </c>
      <c r="N128">
        <v>394</v>
      </c>
      <c r="O128">
        <v>601</v>
      </c>
    </row>
    <row r="129" spans="1:15" x14ac:dyDescent="0.25">
      <c r="A129">
        <v>17</v>
      </c>
      <c r="B129" s="10">
        <v>45308</v>
      </c>
      <c r="C129" t="s">
        <v>548</v>
      </c>
      <c r="D129" t="s">
        <v>13</v>
      </c>
      <c r="E129" t="s">
        <v>193</v>
      </c>
      <c r="F129">
        <v>973</v>
      </c>
      <c r="G129">
        <v>531</v>
      </c>
      <c r="H129">
        <v>148</v>
      </c>
      <c r="I129">
        <v>908</v>
      </c>
      <c r="J129">
        <v>127</v>
      </c>
      <c r="K129">
        <v>530</v>
      </c>
      <c r="L129">
        <v>894</v>
      </c>
      <c r="M129">
        <v>222</v>
      </c>
      <c r="N129">
        <v>696</v>
      </c>
      <c r="O129">
        <v>789</v>
      </c>
    </row>
    <row r="130" spans="1:15" x14ac:dyDescent="0.25">
      <c r="A130">
        <v>13</v>
      </c>
      <c r="B130" s="10">
        <v>45609</v>
      </c>
      <c r="C130" t="s">
        <v>549</v>
      </c>
      <c r="D130" t="s">
        <v>12</v>
      </c>
      <c r="E130" t="s">
        <v>588</v>
      </c>
      <c r="F130">
        <v>512</v>
      </c>
      <c r="G130">
        <v>987</v>
      </c>
      <c r="H130">
        <v>587</v>
      </c>
      <c r="I130">
        <v>729</v>
      </c>
      <c r="J130">
        <v>108</v>
      </c>
      <c r="K130">
        <v>186</v>
      </c>
      <c r="L130">
        <v>481</v>
      </c>
      <c r="M130">
        <v>612</v>
      </c>
      <c r="N130">
        <v>131</v>
      </c>
      <c r="O130">
        <v>82</v>
      </c>
    </row>
    <row r="131" spans="1:15" x14ac:dyDescent="0.25">
      <c r="A131">
        <v>27</v>
      </c>
      <c r="B131" s="10">
        <v>45562</v>
      </c>
      <c r="C131" t="s">
        <v>550</v>
      </c>
      <c r="D131" t="s">
        <v>15</v>
      </c>
      <c r="E131" t="s">
        <v>414</v>
      </c>
      <c r="F131">
        <v>485</v>
      </c>
      <c r="G131">
        <v>201</v>
      </c>
      <c r="H131">
        <v>446</v>
      </c>
      <c r="I131">
        <v>120</v>
      </c>
      <c r="J131">
        <v>327</v>
      </c>
      <c r="K131">
        <v>126</v>
      </c>
      <c r="L131">
        <v>707</v>
      </c>
      <c r="M131">
        <v>635</v>
      </c>
      <c r="N131">
        <v>612</v>
      </c>
      <c r="O131">
        <v>992</v>
      </c>
    </row>
    <row r="132" spans="1:15" x14ac:dyDescent="0.25">
      <c r="A132">
        <v>14</v>
      </c>
      <c r="B132" s="10">
        <v>45305</v>
      </c>
      <c r="C132" t="s">
        <v>551</v>
      </c>
      <c r="D132" t="s">
        <v>587</v>
      </c>
      <c r="E132" t="s">
        <v>588</v>
      </c>
      <c r="F132">
        <v>570</v>
      </c>
      <c r="G132">
        <v>530</v>
      </c>
      <c r="H132">
        <v>211</v>
      </c>
      <c r="I132">
        <v>894</v>
      </c>
      <c r="J132">
        <v>461</v>
      </c>
      <c r="K132">
        <v>286</v>
      </c>
      <c r="L132">
        <v>897</v>
      </c>
      <c r="M132">
        <v>634</v>
      </c>
      <c r="N132">
        <v>672</v>
      </c>
      <c r="O132">
        <v>696</v>
      </c>
    </row>
    <row r="133" spans="1:15" x14ac:dyDescent="0.25">
      <c r="A133">
        <v>17</v>
      </c>
      <c r="B133" s="10">
        <v>45308</v>
      </c>
      <c r="C133" t="s">
        <v>552</v>
      </c>
      <c r="D133" t="s">
        <v>52</v>
      </c>
      <c r="E133" t="s">
        <v>193</v>
      </c>
      <c r="F133">
        <v>277</v>
      </c>
      <c r="G133">
        <v>656</v>
      </c>
      <c r="H133">
        <v>250</v>
      </c>
      <c r="I133">
        <v>570</v>
      </c>
      <c r="J133">
        <v>361</v>
      </c>
      <c r="K133">
        <v>991</v>
      </c>
      <c r="L133">
        <v>937</v>
      </c>
      <c r="M133">
        <v>527</v>
      </c>
      <c r="N133">
        <v>41</v>
      </c>
      <c r="O133">
        <v>720</v>
      </c>
    </row>
    <row r="134" spans="1:15" x14ac:dyDescent="0.25">
      <c r="A134">
        <v>19</v>
      </c>
      <c r="B134" s="10">
        <v>45523</v>
      </c>
      <c r="C134" t="s">
        <v>553</v>
      </c>
      <c r="D134" t="s">
        <v>587</v>
      </c>
      <c r="E134" t="s">
        <v>411</v>
      </c>
      <c r="F134">
        <v>941</v>
      </c>
      <c r="G134">
        <v>723</v>
      </c>
      <c r="H134">
        <v>194</v>
      </c>
      <c r="I134">
        <v>758</v>
      </c>
      <c r="J134">
        <v>993</v>
      </c>
      <c r="K134">
        <v>853</v>
      </c>
      <c r="L134">
        <v>559</v>
      </c>
      <c r="M134">
        <v>692</v>
      </c>
      <c r="N134">
        <v>352</v>
      </c>
      <c r="O134">
        <v>715</v>
      </c>
    </row>
    <row r="135" spans="1:15" x14ac:dyDescent="0.25">
      <c r="A135">
        <v>24</v>
      </c>
      <c r="B135" s="10">
        <v>45589</v>
      </c>
      <c r="C135" t="s">
        <v>554</v>
      </c>
      <c r="D135" t="s">
        <v>52</v>
      </c>
      <c r="E135" t="s">
        <v>413</v>
      </c>
      <c r="F135">
        <v>544</v>
      </c>
      <c r="G135">
        <v>683</v>
      </c>
      <c r="H135">
        <v>783</v>
      </c>
      <c r="I135">
        <v>83</v>
      </c>
      <c r="J135">
        <v>181</v>
      </c>
      <c r="K135">
        <v>252</v>
      </c>
      <c r="L135">
        <v>429</v>
      </c>
      <c r="M135">
        <v>445</v>
      </c>
      <c r="N135">
        <v>369</v>
      </c>
      <c r="O135">
        <v>673</v>
      </c>
    </row>
    <row r="136" spans="1:15" x14ac:dyDescent="0.25">
      <c r="A136">
        <v>28</v>
      </c>
      <c r="B136" s="10">
        <v>45563</v>
      </c>
      <c r="C136" t="s">
        <v>555</v>
      </c>
      <c r="D136" t="s">
        <v>13</v>
      </c>
      <c r="E136" t="s">
        <v>413</v>
      </c>
      <c r="F136">
        <v>818</v>
      </c>
      <c r="G136">
        <v>564</v>
      </c>
      <c r="H136">
        <v>956</v>
      </c>
      <c r="I136">
        <v>405</v>
      </c>
      <c r="J136">
        <v>72</v>
      </c>
      <c r="K136">
        <v>910</v>
      </c>
      <c r="L136">
        <v>876</v>
      </c>
      <c r="M136">
        <v>306</v>
      </c>
      <c r="N136">
        <v>719</v>
      </c>
      <c r="O136">
        <v>22</v>
      </c>
    </row>
    <row r="137" spans="1:15" x14ac:dyDescent="0.25">
      <c r="A137">
        <v>9</v>
      </c>
      <c r="B137" s="10">
        <v>45635</v>
      </c>
      <c r="C137" t="s">
        <v>556</v>
      </c>
      <c r="D137" t="s">
        <v>13</v>
      </c>
      <c r="E137" t="s">
        <v>419</v>
      </c>
      <c r="F137">
        <v>824</v>
      </c>
      <c r="G137">
        <v>107</v>
      </c>
      <c r="H137">
        <v>692</v>
      </c>
      <c r="I137">
        <v>78</v>
      </c>
      <c r="J137">
        <v>495</v>
      </c>
      <c r="K137">
        <v>97</v>
      </c>
      <c r="L137">
        <v>245</v>
      </c>
      <c r="M137">
        <v>526</v>
      </c>
      <c r="N137">
        <v>214</v>
      </c>
      <c r="O137">
        <v>464</v>
      </c>
    </row>
    <row r="138" spans="1:15" x14ac:dyDescent="0.25">
      <c r="A138">
        <v>8</v>
      </c>
      <c r="B138" s="10">
        <v>45390</v>
      </c>
      <c r="C138" t="s">
        <v>557</v>
      </c>
      <c r="D138" t="s">
        <v>12</v>
      </c>
      <c r="E138" t="s">
        <v>411</v>
      </c>
      <c r="F138">
        <v>877</v>
      </c>
      <c r="G138">
        <v>490</v>
      </c>
      <c r="H138">
        <v>402</v>
      </c>
      <c r="I138">
        <v>612</v>
      </c>
      <c r="J138">
        <v>994</v>
      </c>
      <c r="K138">
        <v>962</v>
      </c>
      <c r="L138">
        <v>428</v>
      </c>
      <c r="M138">
        <v>952</v>
      </c>
      <c r="N138">
        <v>594</v>
      </c>
      <c r="O138">
        <v>873</v>
      </c>
    </row>
    <row r="139" spans="1:15" x14ac:dyDescent="0.25">
      <c r="A139">
        <v>26</v>
      </c>
      <c r="B139" s="10">
        <v>45499</v>
      </c>
      <c r="C139" t="s">
        <v>558</v>
      </c>
      <c r="D139" t="s">
        <v>52</v>
      </c>
      <c r="E139" t="s">
        <v>411</v>
      </c>
      <c r="F139">
        <v>871</v>
      </c>
      <c r="G139">
        <v>635</v>
      </c>
      <c r="H139">
        <v>116</v>
      </c>
      <c r="I139">
        <v>182</v>
      </c>
      <c r="J139">
        <v>514</v>
      </c>
      <c r="K139">
        <v>150</v>
      </c>
      <c r="L139">
        <v>335</v>
      </c>
      <c r="M139">
        <v>647</v>
      </c>
      <c r="N139">
        <v>10</v>
      </c>
      <c r="O139">
        <v>876</v>
      </c>
    </row>
    <row r="140" spans="1:15" x14ac:dyDescent="0.25">
      <c r="A140">
        <v>15</v>
      </c>
      <c r="B140" s="10">
        <v>45580</v>
      </c>
      <c r="C140" t="s">
        <v>559</v>
      </c>
      <c r="D140" t="s">
        <v>13</v>
      </c>
      <c r="E140" t="s">
        <v>419</v>
      </c>
      <c r="F140">
        <v>556</v>
      </c>
      <c r="G140">
        <v>788</v>
      </c>
      <c r="H140">
        <v>761</v>
      </c>
      <c r="I140">
        <v>783</v>
      </c>
      <c r="J140">
        <v>309</v>
      </c>
      <c r="K140">
        <v>415</v>
      </c>
      <c r="L140">
        <v>867</v>
      </c>
      <c r="M140">
        <v>848</v>
      </c>
      <c r="N140">
        <v>335</v>
      </c>
      <c r="O140">
        <v>283</v>
      </c>
    </row>
    <row r="141" spans="1:15" x14ac:dyDescent="0.25">
      <c r="A141">
        <v>19</v>
      </c>
      <c r="B141" s="10">
        <v>45401</v>
      </c>
      <c r="C141" t="s">
        <v>560</v>
      </c>
      <c r="D141" t="s">
        <v>52</v>
      </c>
      <c r="E141" t="s">
        <v>193</v>
      </c>
      <c r="F141">
        <v>10</v>
      </c>
      <c r="G141">
        <v>135</v>
      </c>
      <c r="H141">
        <v>171</v>
      </c>
      <c r="I141">
        <v>732</v>
      </c>
      <c r="J141">
        <v>101</v>
      </c>
      <c r="K141">
        <v>198</v>
      </c>
      <c r="L141">
        <v>491</v>
      </c>
      <c r="M141">
        <v>311</v>
      </c>
      <c r="N141">
        <v>431</v>
      </c>
      <c r="O141">
        <v>113</v>
      </c>
    </row>
    <row r="142" spans="1:15" x14ac:dyDescent="0.25">
      <c r="A142">
        <v>1</v>
      </c>
      <c r="B142" s="10">
        <v>45627</v>
      </c>
      <c r="C142" t="s">
        <v>561</v>
      </c>
      <c r="D142" t="s">
        <v>190</v>
      </c>
      <c r="E142" t="s">
        <v>414</v>
      </c>
      <c r="F142">
        <v>247</v>
      </c>
      <c r="G142">
        <v>939</v>
      </c>
      <c r="H142">
        <v>326</v>
      </c>
      <c r="I142">
        <v>898</v>
      </c>
      <c r="J142">
        <v>439</v>
      </c>
      <c r="K142">
        <v>410</v>
      </c>
      <c r="L142">
        <v>158</v>
      </c>
      <c r="M142">
        <v>325</v>
      </c>
      <c r="N142">
        <v>326</v>
      </c>
      <c r="O142">
        <v>159</v>
      </c>
    </row>
    <row r="143" spans="1:15" x14ac:dyDescent="0.25">
      <c r="A143">
        <v>16</v>
      </c>
      <c r="B143" s="10">
        <v>45338</v>
      </c>
      <c r="C143" t="s">
        <v>562</v>
      </c>
      <c r="D143" t="s">
        <v>15</v>
      </c>
      <c r="E143" t="s">
        <v>411</v>
      </c>
      <c r="F143">
        <v>373</v>
      </c>
      <c r="G143">
        <v>676</v>
      </c>
      <c r="H143">
        <v>274</v>
      </c>
      <c r="I143">
        <v>881</v>
      </c>
      <c r="J143">
        <v>273</v>
      </c>
      <c r="K143">
        <v>796</v>
      </c>
      <c r="L143">
        <v>929</v>
      </c>
      <c r="M143">
        <v>661</v>
      </c>
      <c r="N143">
        <v>351</v>
      </c>
      <c r="O143">
        <v>986</v>
      </c>
    </row>
    <row r="144" spans="1:15" x14ac:dyDescent="0.25">
      <c r="A144">
        <v>31</v>
      </c>
      <c r="B144" s="10">
        <v>45535</v>
      </c>
      <c r="C144" t="s">
        <v>563</v>
      </c>
      <c r="D144" t="s">
        <v>13</v>
      </c>
      <c r="E144" t="s">
        <v>414</v>
      </c>
      <c r="F144">
        <v>784</v>
      </c>
      <c r="G144">
        <v>918</v>
      </c>
      <c r="H144">
        <v>418</v>
      </c>
      <c r="I144">
        <v>348</v>
      </c>
      <c r="J144">
        <v>602</v>
      </c>
      <c r="K144">
        <v>419</v>
      </c>
      <c r="L144">
        <v>458</v>
      </c>
      <c r="M144">
        <v>625</v>
      </c>
      <c r="N144">
        <v>400</v>
      </c>
      <c r="O144">
        <v>124</v>
      </c>
    </row>
    <row r="145" spans="1:15" x14ac:dyDescent="0.25">
      <c r="A145">
        <v>12</v>
      </c>
      <c r="B145" s="10">
        <v>45516</v>
      </c>
      <c r="C145" t="s">
        <v>564</v>
      </c>
      <c r="D145" t="s">
        <v>190</v>
      </c>
      <c r="E145" t="s">
        <v>419</v>
      </c>
      <c r="F145">
        <v>246</v>
      </c>
      <c r="G145">
        <v>440</v>
      </c>
      <c r="H145">
        <v>725</v>
      </c>
      <c r="I145">
        <v>76</v>
      </c>
      <c r="J145">
        <v>684</v>
      </c>
      <c r="K145">
        <v>286</v>
      </c>
      <c r="L145">
        <v>530</v>
      </c>
      <c r="M145">
        <v>226</v>
      </c>
      <c r="N145">
        <v>301</v>
      </c>
      <c r="O145">
        <v>934</v>
      </c>
    </row>
    <row r="146" spans="1:15" x14ac:dyDescent="0.25">
      <c r="A146">
        <v>1</v>
      </c>
      <c r="B146" s="10">
        <v>45566</v>
      </c>
      <c r="C146" t="s">
        <v>565</v>
      </c>
      <c r="D146" t="s">
        <v>12</v>
      </c>
      <c r="E146" t="s">
        <v>588</v>
      </c>
      <c r="F146">
        <v>276</v>
      </c>
      <c r="G146">
        <v>615</v>
      </c>
      <c r="H146">
        <v>470</v>
      </c>
      <c r="I146">
        <v>341</v>
      </c>
      <c r="J146">
        <v>590</v>
      </c>
      <c r="K146">
        <v>644</v>
      </c>
      <c r="L146">
        <v>587</v>
      </c>
      <c r="M146">
        <v>836</v>
      </c>
      <c r="N146">
        <v>910</v>
      </c>
      <c r="O146">
        <v>217</v>
      </c>
    </row>
    <row r="147" spans="1:15" x14ac:dyDescent="0.25">
      <c r="A147">
        <v>4</v>
      </c>
      <c r="B147" s="10">
        <v>45447</v>
      </c>
      <c r="C147" t="s">
        <v>566</v>
      </c>
      <c r="D147" t="s">
        <v>12</v>
      </c>
      <c r="E147" t="s">
        <v>413</v>
      </c>
      <c r="F147">
        <v>479</v>
      </c>
      <c r="G147">
        <v>787</v>
      </c>
      <c r="H147">
        <v>590</v>
      </c>
      <c r="I147">
        <v>612</v>
      </c>
      <c r="J147">
        <v>174</v>
      </c>
      <c r="K147">
        <v>613</v>
      </c>
      <c r="L147">
        <v>304</v>
      </c>
      <c r="M147">
        <v>125</v>
      </c>
      <c r="N147">
        <v>854</v>
      </c>
      <c r="O147">
        <v>231</v>
      </c>
    </row>
    <row r="148" spans="1:15" x14ac:dyDescent="0.25">
      <c r="A148">
        <v>17</v>
      </c>
      <c r="B148" s="10">
        <v>45308</v>
      </c>
      <c r="C148" t="s">
        <v>567</v>
      </c>
      <c r="D148" t="s">
        <v>13</v>
      </c>
      <c r="E148" t="s">
        <v>588</v>
      </c>
      <c r="F148">
        <v>867</v>
      </c>
      <c r="G148">
        <v>870</v>
      </c>
      <c r="H148">
        <v>835</v>
      </c>
      <c r="I148">
        <v>526</v>
      </c>
      <c r="J148">
        <v>431</v>
      </c>
      <c r="K148">
        <v>14</v>
      </c>
      <c r="L148">
        <v>836</v>
      </c>
      <c r="M148">
        <v>857</v>
      </c>
      <c r="N148">
        <v>885</v>
      </c>
      <c r="O148">
        <v>940</v>
      </c>
    </row>
    <row r="149" spans="1:15" x14ac:dyDescent="0.25">
      <c r="A149">
        <v>25</v>
      </c>
      <c r="B149" s="10">
        <v>45316</v>
      </c>
      <c r="C149" t="s">
        <v>568</v>
      </c>
      <c r="D149" t="s">
        <v>52</v>
      </c>
      <c r="E149" t="s">
        <v>414</v>
      </c>
      <c r="F149">
        <v>58</v>
      </c>
      <c r="G149">
        <v>972</v>
      </c>
      <c r="H149">
        <v>817</v>
      </c>
      <c r="I149">
        <v>187</v>
      </c>
      <c r="J149">
        <v>830</v>
      </c>
      <c r="K149">
        <v>174</v>
      </c>
      <c r="L149">
        <v>130</v>
      </c>
      <c r="M149">
        <v>130</v>
      </c>
      <c r="N149">
        <v>299</v>
      </c>
      <c r="O149">
        <v>558</v>
      </c>
    </row>
    <row r="150" spans="1:15" x14ac:dyDescent="0.25">
      <c r="A150">
        <v>18</v>
      </c>
      <c r="B150" s="10">
        <v>45614</v>
      </c>
      <c r="C150" t="s">
        <v>569</v>
      </c>
      <c r="D150" t="s">
        <v>587</v>
      </c>
      <c r="E150" t="s">
        <v>588</v>
      </c>
      <c r="F150">
        <v>334</v>
      </c>
      <c r="G150">
        <v>55</v>
      </c>
      <c r="H150">
        <v>936</v>
      </c>
      <c r="I150">
        <v>162</v>
      </c>
      <c r="J150">
        <v>869</v>
      </c>
      <c r="K150">
        <v>751</v>
      </c>
      <c r="L150">
        <v>581</v>
      </c>
      <c r="M150">
        <v>282</v>
      </c>
      <c r="N150">
        <v>492</v>
      </c>
      <c r="O150">
        <v>895</v>
      </c>
    </row>
    <row r="151" spans="1:15" x14ac:dyDescent="0.25">
      <c r="A151">
        <v>12</v>
      </c>
      <c r="B151" s="10">
        <v>45303</v>
      </c>
      <c r="C151" t="s">
        <v>570</v>
      </c>
      <c r="D151" t="s">
        <v>15</v>
      </c>
      <c r="E151" t="s">
        <v>419</v>
      </c>
      <c r="F151">
        <v>404</v>
      </c>
      <c r="G151">
        <v>58</v>
      </c>
      <c r="H151">
        <v>534</v>
      </c>
      <c r="I151">
        <v>655</v>
      </c>
      <c r="J151">
        <v>413</v>
      </c>
      <c r="K151">
        <v>204</v>
      </c>
      <c r="L151">
        <v>839</v>
      </c>
      <c r="M151">
        <v>716</v>
      </c>
      <c r="N151">
        <v>813</v>
      </c>
      <c r="O151">
        <v>774</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A7515-ED29-40FA-AA12-D74419BD7A39}">
  <dimension ref="B1:T19"/>
  <sheetViews>
    <sheetView showGridLines="0" workbookViewId="0">
      <selection activeCell="M28" sqref="M28"/>
    </sheetView>
  </sheetViews>
  <sheetFormatPr defaultRowHeight="15" x14ac:dyDescent="0.25"/>
  <cols>
    <col min="3" max="3" width="10.42578125" bestFit="1" customWidth="1"/>
  </cols>
  <sheetData>
    <row r="1" spans="2:20" x14ac:dyDescent="0.25">
      <c r="I1" s="2"/>
      <c r="J1" s="2"/>
      <c r="S1" t="s">
        <v>10</v>
      </c>
      <c r="T1" t="s">
        <v>397</v>
      </c>
    </row>
    <row r="2" spans="2:20" x14ac:dyDescent="0.25">
      <c r="I2" s="27" t="s">
        <v>593</v>
      </c>
      <c r="J2" s="27" t="s">
        <v>594</v>
      </c>
      <c r="S2" t="s">
        <v>190</v>
      </c>
      <c r="T2" t="s">
        <v>419</v>
      </c>
    </row>
    <row r="3" spans="2:20" x14ac:dyDescent="0.25">
      <c r="I3" s="27">
        <v>1</v>
      </c>
      <c r="J3" s="27">
        <v>31</v>
      </c>
      <c r="S3" t="s">
        <v>15</v>
      </c>
      <c r="T3" t="s">
        <v>414</v>
      </c>
    </row>
    <row r="4" spans="2:20" x14ac:dyDescent="0.25">
      <c r="I4" s="27">
        <v>2</v>
      </c>
      <c r="J4" s="27">
        <v>1</v>
      </c>
      <c r="S4" t="s">
        <v>12</v>
      </c>
      <c r="T4" t="s">
        <v>193</v>
      </c>
    </row>
    <row r="5" spans="2:20" x14ac:dyDescent="0.25">
      <c r="S5" t="s">
        <v>587</v>
      </c>
      <c r="T5" t="s">
        <v>411</v>
      </c>
    </row>
    <row r="6" spans="2:20" x14ac:dyDescent="0.25">
      <c r="H6" s="28" t="s">
        <v>592</v>
      </c>
      <c r="I6" s="28" t="s">
        <v>592</v>
      </c>
      <c r="J6" s="28" t="s">
        <v>10</v>
      </c>
      <c r="K6" s="28" t="s">
        <v>397</v>
      </c>
      <c r="S6" t="s">
        <v>13</v>
      </c>
      <c r="T6" t="s">
        <v>588</v>
      </c>
    </row>
    <row r="7" spans="2:20" x14ac:dyDescent="0.25">
      <c r="H7" s="28" t="str">
        <f>"&gt;="&amp;I3</f>
        <v>&gt;=1</v>
      </c>
      <c r="I7" s="28" t="str">
        <f>"&lt;="&amp;J3</f>
        <v>&lt;=31</v>
      </c>
      <c r="J7" s="28" t="str">
        <f>INDEX(PRODUCT,I4)</f>
        <v>ASUS</v>
      </c>
      <c r="K7" s="28" t="str">
        <f>INDEX(STATE,J4)</f>
        <v>PUNJAB</v>
      </c>
      <c r="S7" t="s">
        <v>52</v>
      </c>
      <c r="T7" t="s">
        <v>413</v>
      </c>
    </row>
    <row r="13" spans="2:20" x14ac:dyDescent="0.25">
      <c r="B13" t="s">
        <v>592</v>
      </c>
      <c r="C13" t="s">
        <v>323</v>
      </c>
      <c r="D13" t="s">
        <v>0</v>
      </c>
      <c r="E13" t="s">
        <v>10</v>
      </c>
      <c r="F13" t="s">
        <v>397</v>
      </c>
      <c r="G13" t="s">
        <v>577</v>
      </c>
      <c r="H13" t="s">
        <v>578</v>
      </c>
      <c r="I13" t="s">
        <v>579</v>
      </c>
      <c r="J13" t="s">
        <v>580</v>
      </c>
      <c r="K13" t="s">
        <v>581</v>
      </c>
      <c r="L13" t="s">
        <v>582</v>
      </c>
      <c r="M13" t="s">
        <v>583</v>
      </c>
      <c r="N13" t="s">
        <v>584</v>
      </c>
      <c r="O13" t="s">
        <v>585</v>
      </c>
      <c r="P13" t="s">
        <v>586</v>
      </c>
    </row>
    <row r="14" spans="2:20" x14ac:dyDescent="0.25">
      <c r="B14" s="33">
        <v>5</v>
      </c>
      <c r="C14" s="34">
        <v>45356</v>
      </c>
      <c r="D14" s="35" t="s">
        <v>469</v>
      </c>
      <c r="E14" s="35" t="s">
        <v>15</v>
      </c>
      <c r="F14" s="35" t="s">
        <v>419</v>
      </c>
      <c r="G14" s="35">
        <v>166</v>
      </c>
      <c r="H14" s="35">
        <v>891</v>
      </c>
      <c r="I14" s="35">
        <v>910</v>
      </c>
      <c r="J14" s="35">
        <v>495</v>
      </c>
      <c r="K14" s="35">
        <v>423</v>
      </c>
      <c r="L14" s="35">
        <v>712</v>
      </c>
      <c r="M14" s="35">
        <v>713</v>
      </c>
      <c r="N14" s="35">
        <v>678</v>
      </c>
      <c r="O14" s="35">
        <v>82</v>
      </c>
      <c r="P14" s="36">
        <v>16</v>
      </c>
    </row>
    <row r="15" spans="2:20" x14ac:dyDescent="0.25">
      <c r="B15" s="33">
        <v>25</v>
      </c>
      <c r="C15" s="34">
        <v>45498</v>
      </c>
      <c r="D15" s="35" t="s">
        <v>474</v>
      </c>
      <c r="E15" s="35" t="s">
        <v>15</v>
      </c>
      <c r="F15" s="35" t="s">
        <v>419</v>
      </c>
      <c r="G15" s="35">
        <v>213</v>
      </c>
      <c r="H15" s="35">
        <v>200</v>
      </c>
      <c r="I15" s="35">
        <v>431</v>
      </c>
      <c r="J15" s="35">
        <v>736</v>
      </c>
      <c r="K15" s="35">
        <v>354</v>
      </c>
      <c r="L15" s="35">
        <v>767</v>
      </c>
      <c r="M15" s="35">
        <v>185</v>
      </c>
      <c r="N15" s="35">
        <v>866</v>
      </c>
      <c r="O15" s="35">
        <v>285</v>
      </c>
      <c r="P15" s="36">
        <v>53</v>
      </c>
    </row>
    <row r="16" spans="2:20" x14ac:dyDescent="0.25">
      <c r="B16" s="33">
        <v>14</v>
      </c>
      <c r="C16" s="34">
        <v>45457</v>
      </c>
      <c r="D16" s="35" t="s">
        <v>479</v>
      </c>
      <c r="E16" s="35" t="s">
        <v>15</v>
      </c>
      <c r="F16" s="35" t="s">
        <v>419</v>
      </c>
      <c r="G16" s="35">
        <v>62</v>
      </c>
      <c r="H16" s="35">
        <v>66</v>
      </c>
      <c r="I16" s="35">
        <v>332</v>
      </c>
      <c r="J16" s="35">
        <v>53</v>
      </c>
      <c r="K16" s="35">
        <v>297</v>
      </c>
      <c r="L16" s="35">
        <v>621</v>
      </c>
      <c r="M16" s="35">
        <v>72</v>
      </c>
      <c r="N16" s="35">
        <v>159</v>
      </c>
      <c r="O16" s="35">
        <v>58</v>
      </c>
      <c r="P16" s="36">
        <v>222</v>
      </c>
    </row>
    <row r="17" spans="2:16" x14ac:dyDescent="0.25">
      <c r="B17" s="33">
        <v>20</v>
      </c>
      <c r="C17" s="34">
        <v>45371</v>
      </c>
      <c r="D17" s="35" t="s">
        <v>509</v>
      </c>
      <c r="E17" s="35" t="s">
        <v>15</v>
      </c>
      <c r="F17" s="35" t="s">
        <v>419</v>
      </c>
      <c r="G17" s="35">
        <v>32</v>
      </c>
      <c r="H17" s="35">
        <v>245</v>
      </c>
      <c r="I17" s="35">
        <v>395</v>
      </c>
      <c r="J17" s="35">
        <v>626</v>
      </c>
      <c r="K17" s="35">
        <v>889</v>
      </c>
      <c r="L17" s="35">
        <v>673</v>
      </c>
      <c r="M17" s="35">
        <v>883</v>
      </c>
      <c r="N17" s="35">
        <v>824</v>
      </c>
      <c r="O17" s="35">
        <v>527</v>
      </c>
      <c r="P17" s="36">
        <v>403</v>
      </c>
    </row>
    <row r="18" spans="2:16" x14ac:dyDescent="0.25">
      <c r="B18" s="33">
        <v>13</v>
      </c>
      <c r="C18" s="34">
        <v>45395</v>
      </c>
      <c r="D18" s="35" t="s">
        <v>525</v>
      </c>
      <c r="E18" s="35" t="s">
        <v>15</v>
      </c>
      <c r="F18" s="35" t="s">
        <v>419</v>
      </c>
      <c r="G18" s="35">
        <v>218</v>
      </c>
      <c r="H18" s="35">
        <v>723</v>
      </c>
      <c r="I18" s="35">
        <v>457</v>
      </c>
      <c r="J18" s="35">
        <v>370</v>
      </c>
      <c r="K18" s="35">
        <v>389</v>
      </c>
      <c r="L18" s="35">
        <v>544</v>
      </c>
      <c r="M18" s="35">
        <v>815</v>
      </c>
      <c r="N18" s="35">
        <v>574</v>
      </c>
      <c r="O18" s="35">
        <v>892</v>
      </c>
      <c r="P18" s="36">
        <v>903</v>
      </c>
    </row>
    <row r="19" spans="2:16" x14ac:dyDescent="0.25">
      <c r="B19" s="37">
        <v>12</v>
      </c>
      <c r="C19" s="38">
        <v>45303</v>
      </c>
      <c r="D19" s="39" t="s">
        <v>570</v>
      </c>
      <c r="E19" s="39" t="s">
        <v>15</v>
      </c>
      <c r="F19" s="39" t="s">
        <v>419</v>
      </c>
      <c r="G19" s="39">
        <v>404</v>
      </c>
      <c r="H19" s="39">
        <v>58</v>
      </c>
      <c r="I19" s="39">
        <v>534</v>
      </c>
      <c r="J19" s="39">
        <v>655</v>
      </c>
      <c r="K19" s="39">
        <v>413</v>
      </c>
      <c r="L19" s="39">
        <v>204</v>
      </c>
      <c r="M19" s="39">
        <v>839</v>
      </c>
      <c r="N19" s="39">
        <v>716</v>
      </c>
      <c r="O19" s="39">
        <v>813</v>
      </c>
      <c r="P19" s="40">
        <v>774</v>
      </c>
    </row>
  </sheetData>
  <conditionalFormatting sqref="B13:P13 B15:P1048576 C14:P14">
    <cfRule type="notContainsBlanks" dxfId="21" priority="2">
      <formula>LEN(TRIM(B13))&gt;0</formula>
    </cfRule>
  </conditionalFormatting>
  <conditionalFormatting sqref="G14:P1048576">
    <cfRule type="colorScale" priority="1">
      <colorScale>
        <cfvo type="num" val="250"/>
        <cfvo type="num" val="500"/>
        <cfvo type="num" val="750"/>
        <color rgb="FFF8696B"/>
        <color rgb="FFFFEB84"/>
        <color rgb="FF63BE7B"/>
      </colorScale>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Spinner 1">
              <controlPr defaultSize="0" autoPict="0" macro="[0]!Macro5">
                <anchor moveWithCells="1" sizeWithCells="1">
                  <from>
                    <xdr:col>7</xdr:col>
                    <xdr:colOff>28575</xdr:colOff>
                    <xdr:row>0</xdr:row>
                    <xdr:rowOff>9525</xdr:rowOff>
                  </from>
                  <to>
                    <xdr:col>7</xdr:col>
                    <xdr:colOff>571500</xdr:colOff>
                    <xdr:row>4</xdr:row>
                    <xdr:rowOff>9525</xdr:rowOff>
                  </to>
                </anchor>
              </controlPr>
            </control>
          </mc:Choice>
        </mc:AlternateContent>
        <mc:AlternateContent xmlns:mc="http://schemas.openxmlformats.org/markup-compatibility/2006">
          <mc:Choice Requires="x14">
            <control shapeId="32770" r:id="rId4" name="Spinner 2">
              <controlPr defaultSize="0" autoPict="0" macro="[0]!Macro5">
                <anchor moveWithCells="1" sizeWithCells="1">
                  <from>
                    <xdr:col>10</xdr:col>
                    <xdr:colOff>9525</xdr:colOff>
                    <xdr:row>0</xdr:row>
                    <xdr:rowOff>0</xdr:rowOff>
                  </from>
                  <to>
                    <xdr:col>10</xdr:col>
                    <xdr:colOff>590550</xdr:colOff>
                    <xdr:row>3</xdr:row>
                    <xdr:rowOff>152400</xdr:rowOff>
                  </to>
                </anchor>
              </controlPr>
            </control>
          </mc:Choice>
        </mc:AlternateContent>
        <mc:AlternateContent xmlns:mc="http://schemas.openxmlformats.org/markup-compatibility/2006">
          <mc:Choice Requires="x14">
            <control shapeId="32771" r:id="rId5" name="Drop Down 3">
              <controlPr defaultSize="0" autoLine="0" autoPict="0" macro="[0]!Macro5">
                <anchor moveWithCells="1">
                  <from>
                    <xdr:col>12</xdr:col>
                    <xdr:colOff>9525</xdr:colOff>
                    <xdr:row>0</xdr:row>
                    <xdr:rowOff>66675</xdr:rowOff>
                  </from>
                  <to>
                    <xdr:col>16</xdr:col>
                    <xdr:colOff>28575</xdr:colOff>
                    <xdr:row>2</xdr:row>
                    <xdr:rowOff>28575</xdr:rowOff>
                  </to>
                </anchor>
              </controlPr>
            </control>
          </mc:Choice>
        </mc:AlternateContent>
        <mc:AlternateContent xmlns:mc="http://schemas.openxmlformats.org/markup-compatibility/2006">
          <mc:Choice Requires="x14">
            <control shapeId="32772" r:id="rId6" name="Drop Down 4">
              <controlPr defaultSize="0" autoLine="0" autoPict="0" macro="[0]!Macro5">
                <anchor moveWithCells="1">
                  <from>
                    <xdr:col>11</xdr:col>
                    <xdr:colOff>600075</xdr:colOff>
                    <xdr:row>3</xdr:row>
                    <xdr:rowOff>38100</xdr:rowOff>
                  </from>
                  <to>
                    <xdr:col>16</xdr:col>
                    <xdr:colOff>0</xdr:colOff>
                    <xdr:row>5</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D33B2-366E-4A91-A785-FFCD25E9B18C}">
  <sheetPr codeName="Sheet2"/>
  <dimension ref="A1:R151"/>
  <sheetViews>
    <sheetView workbookViewId="0">
      <selection activeCell="M28" sqref="M28"/>
    </sheetView>
  </sheetViews>
  <sheetFormatPr defaultRowHeight="15" x14ac:dyDescent="0.25"/>
  <cols>
    <col min="1" max="2" width="10.42578125" bestFit="1" customWidth="1"/>
    <col min="4" max="4" width="11.7109375" customWidth="1"/>
    <col min="6" max="14" width="9.7109375" customWidth="1"/>
    <col min="15" max="15" width="10.7109375" customWidth="1"/>
  </cols>
  <sheetData>
    <row r="1" spans="1:18" x14ac:dyDescent="0.25">
      <c r="A1" s="41" t="s">
        <v>592</v>
      </c>
      <c r="B1" s="42" t="s">
        <v>323</v>
      </c>
      <c r="C1" s="42" t="s">
        <v>0</v>
      </c>
      <c r="D1" s="42" t="s">
        <v>10</v>
      </c>
      <c r="E1" s="42" t="s">
        <v>397</v>
      </c>
      <c r="F1" s="42" t="s">
        <v>577</v>
      </c>
      <c r="G1" s="42" t="s">
        <v>578</v>
      </c>
      <c r="H1" s="42" t="s">
        <v>579</v>
      </c>
      <c r="I1" s="42" t="s">
        <v>580</v>
      </c>
      <c r="J1" s="42" t="s">
        <v>581</v>
      </c>
      <c r="K1" s="42" t="s">
        <v>582</v>
      </c>
      <c r="L1" s="42" t="s">
        <v>583</v>
      </c>
      <c r="M1" s="42" t="s">
        <v>584</v>
      </c>
      <c r="N1" s="42" t="s">
        <v>585</v>
      </c>
      <c r="O1" s="43" t="s">
        <v>586</v>
      </c>
    </row>
    <row r="2" spans="1:18" x14ac:dyDescent="0.25">
      <c r="A2" s="33">
        <v>15</v>
      </c>
      <c r="B2" s="34">
        <v>45366</v>
      </c>
      <c r="C2" s="35" t="s">
        <v>421</v>
      </c>
      <c r="D2" s="35" t="s">
        <v>190</v>
      </c>
      <c r="E2" s="35" t="s">
        <v>419</v>
      </c>
      <c r="F2" s="35">
        <v>101</v>
      </c>
      <c r="G2" s="35">
        <v>220</v>
      </c>
      <c r="H2" s="35">
        <v>214</v>
      </c>
      <c r="I2" s="35">
        <v>714</v>
      </c>
      <c r="J2" s="35">
        <v>891</v>
      </c>
      <c r="K2" s="35">
        <v>927</v>
      </c>
      <c r="L2" s="35">
        <v>289</v>
      </c>
      <c r="M2" s="35">
        <v>155</v>
      </c>
      <c r="N2" s="35">
        <v>874</v>
      </c>
      <c r="O2" s="36">
        <v>344</v>
      </c>
    </row>
    <row r="3" spans="1:18" x14ac:dyDescent="0.25">
      <c r="A3" s="33">
        <v>7</v>
      </c>
      <c r="B3" s="34">
        <v>45419</v>
      </c>
      <c r="C3" s="35" t="s">
        <v>422</v>
      </c>
      <c r="D3" s="35" t="s">
        <v>15</v>
      </c>
      <c r="E3" s="35" t="s">
        <v>414</v>
      </c>
      <c r="F3" s="35">
        <v>189</v>
      </c>
      <c r="G3" s="35">
        <v>846</v>
      </c>
      <c r="H3" s="35">
        <v>470</v>
      </c>
      <c r="I3" s="35">
        <v>855</v>
      </c>
      <c r="J3" s="35">
        <v>199</v>
      </c>
      <c r="K3" s="35">
        <v>983</v>
      </c>
      <c r="L3" s="35">
        <v>106</v>
      </c>
      <c r="M3" s="35">
        <v>616</v>
      </c>
      <c r="N3" s="35">
        <v>338</v>
      </c>
      <c r="O3" s="36">
        <v>90</v>
      </c>
    </row>
    <row r="4" spans="1:18" x14ac:dyDescent="0.25">
      <c r="A4" s="33">
        <v>11</v>
      </c>
      <c r="B4" s="34">
        <v>45637</v>
      </c>
      <c r="C4" s="35" t="s">
        <v>423</v>
      </c>
      <c r="D4" s="35" t="s">
        <v>12</v>
      </c>
      <c r="E4" s="35" t="s">
        <v>419</v>
      </c>
      <c r="F4" s="35">
        <v>20</v>
      </c>
      <c r="G4" s="35">
        <v>325</v>
      </c>
      <c r="H4" s="35">
        <v>855</v>
      </c>
      <c r="I4" s="35">
        <v>858</v>
      </c>
      <c r="J4" s="35">
        <v>158</v>
      </c>
      <c r="K4" s="35">
        <v>687</v>
      </c>
      <c r="L4" s="35">
        <v>720</v>
      </c>
      <c r="M4" s="35">
        <v>575</v>
      </c>
      <c r="N4" s="35">
        <v>339</v>
      </c>
      <c r="O4" s="36">
        <v>960</v>
      </c>
    </row>
    <row r="5" spans="1:18" x14ac:dyDescent="0.25">
      <c r="A5" s="33">
        <v>31</v>
      </c>
      <c r="B5" s="34">
        <v>45535</v>
      </c>
      <c r="C5" s="35" t="s">
        <v>424</v>
      </c>
      <c r="D5" s="35" t="s">
        <v>587</v>
      </c>
      <c r="E5" s="35" t="s">
        <v>193</v>
      </c>
      <c r="F5" s="35">
        <v>340</v>
      </c>
      <c r="G5" s="35">
        <v>661</v>
      </c>
      <c r="H5" s="35">
        <v>786</v>
      </c>
      <c r="I5" s="35">
        <v>673</v>
      </c>
      <c r="J5" s="35">
        <v>135</v>
      </c>
      <c r="K5" s="35">
        <v>935</v>
      </c>
      <c r="L5" s="35">
        <v>309</v>
      </c>
      <c r="M5" s="35">
        <v>150</v>
      </c>
      <c r="N5" s="35">
        <v>413</v>
      </c>
      <c r="O5" s="36">
        <v>989</v>
      </c>
    </row>
    <row r="6" spans="1:18" x14ac:dyDescent="0.25">
      <c r="A6" s="33">
        <v>6</v>
      </c>
      <c r="B6" s="34">
        <v>45328</v>
      </c>
      <c r="C6" s="35" t="s">
        <v>425</v>
      </c>
      <c r="D6" s="35" t="s">
        <v>190</v>
      </c>
      <c r="E6" s="35" t="s">
        <v>411</v>
      </c>
      <c r="F6" s="35">
        <v>904</v>
      </c>
      <c r="G6" s="35">
        <v>385</v>
      </c>
      <c r="H6" s="35">
        <v>862</v>
      </c>
      <c r="I6" s="35">
        <v>994</v>
      </c>
      <c r="J6" s="35">
        <v>69</v>
      </c>
      <c r="K6" s="35">
        <v>664</v>
      </c>
      <c r="L6" s="35">
        <v>403</v>
      </c>
      <c r="M6" s="35">
        <v>902</v>
      </c>
      <c r="N6" s="35">
        <v>793</v>
      </c>
      <c r="O6" s="36">
        <v>458</v>
      </c>
    </row>
    <row r="7" spans="1:18" x14ac:dyDescent="0.25">
      <c r="A7" s="33">
        <v>14</v>
      </c>
      <c r="B7" s="34">
        <v>45610</v>
      </c>
      <c r="C7" s="35" t="s">
        <v>426</v>
      </c>
      <c r="D7" s="35" t="s">
        <v>13</v>
      </c>
      <c r="E7" s="35" t="s">
        <v>588</v>
      </c>
      <c r="F7" s="35">
        <v>300</v>
      </c>
      <c r="G7" s="35">
        <v>607</v>
      </c>
      <c r="H7" s="35">
        <v>308</v>
      </c>
      <c r="I7" s="35">
        <v>932</v>
      </c>
      <c r="J7" s="35">
        <v>214</v>
      </c>
      <c r="K7" s="35">
        <v>975</v>
      </c>
      <c r="L7" s="35">
        <v>333</v>
      </c>
      <c r="M7" s="35">
        <v>172</v>
      </c>
      <c r="N7" s="35">
        <v>2</v>
      </c>
      <c r="O7" s="36">
        <v>748</v>
      </c>
    </row>
    <row r="8" spans="1:18" x14ac:dyDescent="0.25">
      <c r="A8" s="33">
        <v>12</v>
      </c>
      <c r="B8" s="34">
        <v>45303</v>
      </c>
      <c r="C8" s="35" t="s">
        <v>427</v>
      </c>
      <c r="D8" s="35" t="s">
        <v>12</v>
      </c>
      <c r="E8" s="35" t="s">
        <v>588</v>
      </c>
      <c r="F8" s="35">
        <v>681</v>
      </c>
      <c r="G8" s="35">
        <v>896</v>
      </c>
      <c r="H8" s="35">
        <v>867</v>
      </c>
      <c r="I8" s="35">
        <v>6</v>
      </c>
      <c r="J8" s="35">
        <v>168</v>
      </c>
      <c r="K8" s="35">
        <v>16</v>
      </c>
      <c r="L8" s="35">
        <v>300</v>
      </c>
      <c r="M8" s="35">
        <v>3</v>
      </c>
      <c r="N8" s="35">
        <v>51</v>
      </c>
      <c r="O8" s="36">
        <v>731</v>
      </c>
    </row>
    <row r="9" spans="1:18" x14ac:dyDescent="0.25">
      <c r="A9" s="33">
        <v>19</v>
      </c>
      <c r="B9" s="34">
        <v>45523</v>
      </c>
      <c r="C9" s="35" t="s">
        <v>428</v>
      </c>
      <c r="D9" s="35" t="s">
        <v>587</v>
      </c>
      <c r="E9" s="35" t="s">
        <v>419</v>
      </c>
      <c r="F9" s="35">
        <v>470</v>
      </c>
      <c r="G9" s="35">
        <v>399</v>
      </c>
      <c r="H9" s="35">
        <v>17</v>
      </c>
      <c r="I9" s="35">
        <v>224</v>
      </c>
      <c r="J9" s="35">
        <v>94</v>
      </c>
      <c r="K9" s="35">
        <v>232</v>
      </c>
      <c r="L9" s="35">
        <v>129</v>
      </c>
      <c r="M9" s="35">
        <v>307</v>
      </c>
      <c r="N9" s="35">
        <v>43</v>
      </c>
      <c r="O9" s="36">
        <v>630</v>
      </c>
    </row>
    <row r="10" spans="1:18" x14ac:dyDescent="0.25">
      <c r="A10" s="33">
        <v>9</v>
      </c>
      <c r="B10" s="34">
        <v>45300</v>
      </c>
      <c r="C10" s="35" t="s">
        <v>429</v>
      </c>
      <c r="D10" s="35" t="s">
        <v>190</v>
      </c>
      <c r="E10" s="35" t="s">
        <v>411</v>
      </c>
      <c r="F10" s="35">
        <v>997</v>
      </c>
      <c r="G10" s="35">
        <v>93</v>
      </c>
      <c r="H10" s="35">
        <v>48</v>
      </c>
      <c r="I10" s="35">
        <v>897</v>
      </c>
      <c r="J10" s="35">
        <v>597</v>
      </c>
      <c r="K10" s="35">
        <v>622</v>
      </c>
      <c r="L10" s="35">
        <v>390</v>
      </c>
      <c r="M10" s="35">
        <v>387</v>
      </c>
      <c r="N10" s="35">
        <v>90</v>
      </c>
      <c r="O10" s="36">
        <v>764</v>
      </c>
    </row>
    <row r="11" spans="1:18" x14ac:dyDescent="0.25">
      <c r="A11" s="33">
        <v>18</v>
      </c>
      <c r="B11" s="34">
        <v>45461</v>
      </c>
      <c r="C11" s="35" t="s">
        <v>430</v>
      </c>
      <c r="D11" s="35" t="s">
        <v>12</v>
      </c>
      <c r="E11" s="35" t="s">
        <v>413</v>
      </c>
      <c r="F11" s="35">
        <v>890</v>
      </c>
      <c r="G11" s="35">
        <v>780</v>
      </c>
      <c r="H11" s="35">
        <v>438</v>
      </c>
      <c r="I11" s="35">
        <v>33</v>
      </c>
      <c r="J11" s="35">
        <v>785</v>
      </c>
      <c r="K11" s="35">
        <v>470</v>
      </c>
      <c r="L11" s="35">
        <v>117</v>
      </c>
      <c r="M11" s="35">
        <v>779</v>
      </c>
      <c r="N11" s="35">
        <v>834</v>
      </c>
      <c r="O11" s="36">
        <v>62</v>
      </c>
    </row>
    <row r="12" spans="1:18" x14ac:dyDescent="0.25">
      <c r="A12" s="33">
        <v>17</v>
      </c>
      <c r="B12" s="34">
        <v>45308</v>
      </c>
      <c r="C12" s="35" t="s">
        <v>431</v>
      </c>
      <c r="D12" s="35" t="s">
        <v>15</v>
      </c>
      <c r="E12" s="35" t="s">
        <v>588</v>
      </c>
      <c r="F12" s="35">
        <v>716</v>
      </c>
      <c r="G12" s="35">
        <v>727</v>
      </c>
      <c r="H12" s="35">
        <v>440</v>
      </c>
      <c r="I12" s="35">
        <v>821</v>
      </c>
      <c r="J12" s="35">
        <v>239</v>
      </c>
      <c r="K12" s="35">
        <v>760</v>
      </c>
      <c r="L12" s="35">
        <v>904</v>
      </c>
      <c r="M12" s="35">
        <v>395</v>
      </c>
      <c r="N12" s="35">
        <v>507</v>
      </c>
      <c r="O12" s="36">
        <v>493</v>
      </c>
    </row>
    <row r="13" spans="1:18" x14ac:dyDescent="0.25">
      <c r="A13" s="33">
        <v>26</v>
      </c>
      <c r="B13" s="34">
        <v>45377</v>
      </c>
      <c r="C13" s="35" t="s">
        <v>432</v>
      </c>
      <c r="D13" s="35" t="s">
        <v>15</v>
      </c>
      <c r="E13" s="35" t="s">
        <v>413</v>
      </c>
      <c r="F13" s="35">
        <v>465</v>
      </c>
      <c r="G13" s="35">
        <v>134</v>
      </c>
      <c r="H13" s="35">
        <v>203</v>
      </c>
      <c r="I13" s="35">
        <v>517</v>
      </c>
      <c r="J13" s="35">
        <v>208</v>
      </c>
      <c r="K13" s="35">
        <v>689</v>
      </c>
      <c r="L13" s="35">
        <v>834</v>
      </c>
      <c r="M13" s="35">
        <v>833</v>
      </c>
      <c r="N13" s="35">
        <v>399</v>
      </c>
      <c r="O13" s="36">
        <v>192</v>
      </c>
    </row>
    <row r="14" spans="1:18" x14ac:dyDescent="0.25">
      <c r="A14" s="33">
        <v>23</v>
      </c>
      <c r="B14" s="34">
        <v>45558</v>
      </c>
      <c r="C14" s="35" t="s">
        <v>433</v>
      </c>
      <c r="D14" s="35" t="s">
        <v>13</v>
      </c>
      <c r="E14" s="35" t="s">
        <v>193</v>
      </c>
      <c r="F14" s="35">
        <v>417</v>
      </c>
      <c r="G14" s="35">
        <v>447</v>
      </c>
      <c r="H14" s="35">
        <v>389</v>
      </c>
      <c r="I14" s="35">
        <v>174</v>
      </c>
      <c r="J14" s="35">
        <v>520</v>
      </c>
      <c r="K14" s="35">
        <v>263</v>
      </c>
      <c r="L14" s="35">
        <v>950</v>
      </c>
      <c r="M14" s="35">
        <v>186</v>
      </c>
      <c r="N14" s="35">
        <v>252</v>
      </c>
      <c r="O14" s="36">
        <v>411</v>
      </c>
      <c r="Q14" s="26"/>
      <c r="R14" s="10"/>
    </row>
    <row r="15" spans="1:18" x14ac:dyDescent="0.25">
      <c r="A15" s="33">
        <v>15</v>
      </c>
      <c r="B15" s="34">
        <v>45641</v>
      </c>
      <c r="C15" s="35" t="s">
        <v>434</v>
      </c>
      <c r="D15" s="35" t="s">
        <v>15</v>
      </c>
      <c r="E15" s="35" t="s">
        <v>414</v>
      </c>
      <c r="F15" s="35">
        <v>72</v>
      </c>
      <c r="G15" s="35">
        <v>428</v>
      </c>
      <c r="H15" s="35">
        <v>796</v>
      </c>
      <c r="I15" s="35">
        <v>639</v>
      </c>
      <c r="J15" s="35">
        <v>675</v>
      </c>
      <c r="K15" s="35">
        <v>183</v>
      </c>
      <c r="L15" s="35">
        <v>368</v>
      </c>
      <c r="M15" s="35">
        <v>692</v>
      </c>
      <c r="N15" s="35">
        <v>899</v>
      </c>
      <c r="O15" s="36">
        <v>955</v>
      </c>
      <c r="Q15" s="26"/>
      <c r="R15" s="10"/>
    </row>
    <row r="16" spans="1:18" x14ac:dyDescent="0.25">
      <c r="A16" s="33">
        <v>14</v>
      </c>
      <c r="B16" s="34">
        <v>45365</v>
      </c>
      <c r="C16" s="35" t="s">
        <v>435</v>
      </c>
      <c r="D16" s="35" t="s">
        <v>12</v>
      </c>
      <c r="E16" s="35" t="s">
        <v>193</v>
      </c>
      <c r="F16" s="35">
        <v>915</v>
      </c>
      <c r="G16" s="35">
        <v>490</v>
      </c>
      <c r="H16" s="35">
        <v>273</v>
      </c>
      <c r="I16" s="35">
        <v>744</v>
      </c>
      <c r="J16" s="35">
        <v>265</v>
      </c>
      <c r="K16" s="35">
        <v>454</v>
      </c>
      <c r="L16" s="35">
        <v>816</v>
      </c>
      <c r="M16" s="35">
        <v>747</v>
      </c>
      <c r="N16" s="35">
        <v>110</v>
      </c>
      <c r="O16" s="36">
        <v>923</v>
      </c>
      <c r="Q16" s="26"/>
      <c r="R16" s="10"/>
    </row>
    <row r="17" spans="1:18" x14ac:dyDescent="0.25">
      <c r="A17" s="33">
        <v>15</v>
      </c>
      <c r="B17" s="34">
        <v>45488</v>
      </c>
      <c r="C17" s="35" t="s">
        <v>436</v>
      </c>
      <c r="D17" s="35" t="s">
        <v>190</v>
      </c>
      <c r="E17" s="35" t="s">
        <v>419</v>
      </c>
      <c r="F17" s="35">
        <v>198</v>
      </c>
      <c r="G17" s="35">
        <v>805</v>
      </c>
      <c r="H17" s="35">
        <v>20</v>
      </c>
      <c r="I17" s="35">
        <v>84</v>
      </c>
      <c r="J17" s="35">
        <v>34</v>
      </c>
      <c r="K17" s="35">
        <v>482</v>
      </c>
      <c r="L17" s="35">
        <v>670</v>
      </c>
      <c r="M17" s="35">
        <v>758</v>
      </c>
      <c r="N17" s="35">
        <v>843</v>
      </c>
      <c r="O17" s="36">
        <v>376</v>
      </c>
      <c r="Q17" s="26"/>
      <c r="R17" s="10"/>
    </row>
    <row r="18" spans="1:18" x14ac:dyDescent="0.25">
      <c r="A18" s="33">
        <v>24</v>
      </c>
      <c r="B18" s="34">
        <v>45497</v>
      </c>
      <c r="C18" s="35" t="s">
        <v>437</v>
      </c>
      <c r="D18" s="35" t="s">
        <v>587</v>
      </c>
      <c r="E18" s="35" t="s">
        <v>411</v>
      </c>
      <c r="F18" s="35">
        <v>791</v>
      </c>
      <c r="G18" s="35">
        <v>472</v>
      </c>
      <c r="H18" s="35">
        <v>62</v>
      </c>
      <c r="I18" s="35">
        <v>692</v>
      </c>
      <c r="J18" s="35">
        <v>126</v>
      </c>
      <c r="K18" s="35">
        <v>484</v>
      </c>
      <c r="L18" s="35">
        <v>62</v>
      </c>
      <c r="M18" s="35">
        <v>51</v>
      </c>
      <c r="N18" s="35">
        <v>467</v>
      </c>
      <c r="O18" s="36">
        <v>946</v>
      </c>
      <c r="Q18" s="26"/>
      <c r="R18" s="10"/>
    </row>
    <row r="19" spans="1:18" x14ac:dyDescent="0.25">
      <c r="A19" s="33">
        <v>3</v>
      </c>
      <c r="B19" s="34">
        <v>45629</v>
      </c>
      <c r="C19" s="35" t="s">
        <v>438</v>
      </c>
      <c r="D19" s="35" t="s">
        <v>12</v>
      </c>
      <c r="E19" s="35" t="s">
        <v>414</v>
      </c>
      <c r="F19" s="35">
        <v>11</v>
      </c>
      <c r="G19" s="35">
        <v>31</v>
      </c>
      <c r="H19" s="35">
        <v>24</v>
      </c>
      <c r="I19" s="35">
        <v>622</v>
      </c>
      <c r="J19" s="35">
        <v>597</v>
      </c>
      <c r="K19" s="35">
        <v>400</v>
      </c>
      <c r="L19" s="35">
        <v>548</v>
      </c>
      <c r="M19" s="35">
        <v>534</v>
      </c>
      <c r="N19" s="35">
        <v>820</v>
      </c>
      <c r="O19" s="36">
        <v>379</v>
      </c>
      <c r="Q19" s="26"/>
      <c r="R19" s="10"/>
    </row>
    <row r="20" spans="1:18" x14ac:dyDescent="0.25">
      <c r="A20" s="33">
        <v>8</v>
      </c>
      <c r="B20" s="34">
        <v>45634</v>
      </c>
      <c r="C20" s="35" t="s">
        <v>439</v>
      </c>
      <c r="D20" s="35" t="s">
        <v>52</v>
      </c>
      <c r="E20" s="35" t="s">
        <v>419</v>
      </c>
      <c r="F20" s="35">
        <v>14</v>
      </c>
      <c r="G20" s="35">
        <v>91</v>
      </c>
      <c r="H20" s="35">
        <v>574</v>
      </c>
      <c r="I20" s="35">
        <v>779</v>
      </c>
      <c r="J20" s="35">
        <v>164</v>
      </c>
      <c r="K20" s="35">
        <v>448</v>
      </c>
      <c r="L20" s="35">
        <v>841</v>
      </c>
      <c r="M20" s="35">
        <v>167</v>
      </c>
      <c r="N20" s="35">
        <v>428</v>
      </c>
      <c r="O20" s="36">
        <v>15</v>
      </c>
      <c r="Q20" s="26"/>
      <c r="R20" s="10"/>
    </row>
    <row r="21" spans="1:18" x14ac:dyDescent="0.25">
      <c r="A21" s="33">
        <v>17</v>
      </c>
      <c r="B21" s="34">
        <v>45521</v>
      </c>
      <c r="C21" s="35" t="s">
        <v>440</v>
      </c>
      <c r="D21" s="35" t="s">
        <v>587</v>
      </c>
      <c r="E21" s="35" t="s">
        <v>193</v>
      </c>
      <c r="F21" s="35">
        <v>581</v>
      </c>
      <c r="G21" s="35">
        <v>386</v>
      </c>
      <c r="H21" s="35">
        <v>734</v>
      </c>
      <c r="I21" s="35">
        <v>129</v>
      </c>
      <c r="J21" s="35">
        <v>925</v>
      </c>
      <c r="K21" s="35">
        <v>458</v>
      </c>
      <c r="L21" s="35">
        <v>826</v>
      </c>
      <c r="M21" s="35">
        <v>572</v>
      </c>
      <c r="N21" s="35">
        <v>754</v>
      </c>
      <c r="O21" s="36">
        <v>815</v>
      </c>
      <c r="Q21" s="26"/>
      <c r="R21" s="10"/>
    </row>
    <row r="22" spans="1:18" x14ac:dyDescent="0.25">
      <c r="A22" s="33">
        <v>26</v>
      </c>
      <c r="B22" s="34">
        <v>45561</v>
      </c>
      <c r="C22" s="35" t="s">
        <v>441</v>
      </c>
      <c r="D22" s="35" t="s">
        <v>587</v>
      </c>
      <c r="E22" s="35" t="s">
        <v>588</v>
      </c>
      <c r="F22" s="35">
        <v>961</v>
      </c>
      <c r="G22" s="35">
        <v>892</v>
      </c>
      <c r="H22" s="35">
        <v>717</v>
      </c>
      <c r="I22" s="35">
        <v>276</v>
      </c>
      <c r="J22" s="35">
        <v>648</v>
      </c>
      <c r="K22" s="35">
        <v>519</v>
      </c>
      <c r="L22" s="35">
        <v>680</v>
      </c>
      <c r="M22" s="35">
        <v>809</v>
      </c>
      <c r="N22" s="35">
        <v>38</v>
      </c>
      <c r="O22" s="36">
        <v>947</v>
      </c>
      <c r="Q22" s="26"/>
      <c r="R22" s="10"/>
    </row>
    <row r="23" spans="1:18" x14ac:dyDescent="0.25">
      <c r="A23" s="33">
        <v>12</v>
      </c>
      <c r="B23" s="34">
        <v>45608</v>
      </c>
      <c r="C23" s="35" t="s">
        <v>442</v>
      </c>
      <c r="D23" s="35" t="s">
        <v>13</v>
      </c>
      <c r="E23" s="35" t="s">
        <v>411</v>
      </c>
      <c r="F23" s="35">
        <v>239</v>
      </c>
      <c r="G23" s="35">
        <v>766</v>
      </c>
      <c r="H23" s="35">
        <v>912</v>
      </c>
      <c r="I23" s="35">
        <v>413</v>
      </c>
      <c r="J23" s="35">
        <v>157</v>
      </c>
      <c r="K23" s="35">
        <v>975</v>
      </c>
      <c r="L23" s="35">
        <v>623</v>
      </c>
      <c r="M23" s="35">
        <v>501</v>
      </c>
      <c r="N23" s="35">
        <v>608</v>
      </c>
      <c r="O23" s="36">
        <v>846</v>
      </c>
      <c r="Q23" s="26"/>
      <c r="R23" s="10"/>
    </row>
    <row r="24" spans="1:18" x14ac:dyDescent="0.25">
      <c r="A24" s="33">
        <v>2</v>
      </c>
      <c r="B24" s="34">
        <v>45384</v>
      </c>
      <c r="C24" s="35" t="s">
        <v>443</v>
      </c>
      <c r="D24" s="35" t="s">
        <v>190</v>
      </c>
      <c r="E24" s="35" t="s">
        <v>411</v>
      </c>
      <c r="F24" s="35">
        <v>882</v>
      </c>
      <c r="G24" s="35">
        <v>673</v>
      </c>
      <c r="H24" s="35">
        <v>531</v>
      </c>
      <c r="I24" s="35">
        <v>223</v>
      </c>
      <c r="J24" s="35">
        <v>646</v>
      </c>
      <c r="K24" s="35">
        <v>961</v>
      </c>
      <c r="L24" s="35">
        <v>596</v>
      </c>
      <c r="M24" s="35">
        <v>921</v>
      </c>
      <c r="N24" s="35">
        <v>737</v>
      </c>
      <c r="O24" s="36">
        <v>463</v>
      </c>
      <c r="Q24" s="26"/>
      <c r="R24" s="10"/>
    </row>
    <row r="25" spans="1:18" x14ac:dyDescent="0.25">
      <c r="A25" s="33">
        <v>25</v>
      </c>
      <c r="B25" s="34">
        <v>45498</v>
      </c>
      <c r="C25" s="35" t="s">
        <v>444</v>
      </c>
      <c r="D25" s="35" t="s">
        <v>15</v>
      </c>
      <c r="E25" s="35" t="s">
        <v>193</v>
      </c>
      <c r="F25" s="35">
        <v>450</v>
      </c>
      <c r="G25" s="35">
        <v>290</v>
      </c>
      <c r="H25" s="35">
        <v>462</v>
      </c>
      <c r="I25" s="35">
        <v>127</v>
      </c>
      <c r="J25" s="35">
        <v>269</v>
      </c>
      <c r="K25" s="35">
        <v>770</v>
      </c>
      <c r="L25" s="35">
        <v>699</v>
      </c>
      <c r="M25" s="35">
        <v>649</v>
      </c>
      <c r="N25" s="35">
        <v>838</v>
      </c>
      <c r="O25" s="36">
        <v>228</v>
      </c>
      <c r="Q25" s="26"/>
      <c r="R25" s="10"/>
    </row>
    <row r="26" spans="1:18" x14ac:dyDescent="0.25">
      <c r="A26" s="33">
        <v>29</v>
      </c>
      <c r="B26" s="34">
        <v>45411</v>
      </c>
      <c r="C26" s="35" t="s">
        <v>445</v>
      </c>
      <c r="D26" s="35" t="s">
        <v>587</v>
      </c>
      <c r="E26" s="35" t="s">
        <v>411</v>
      </c>
      <c r="F26" s="35">
        <v>876</v>
      </c>
      <c r="G26" s="35">
        <v>770</v>
      </c>
      <c r="H26" s="35">
        <v>512</v>
      </c>
      <c r="I26" s="35">
        <v>287</v>
      </c>
      <c r="J26" s="35">
        <v>736</v>
      </c>
      <c r="K26" s="35">
        <v>90</v>
      </c>
      <c r="L26" s="35">
        <v>883</v>
      </c>
      <c r="M26" s="35">
        <v>355</v>
      </c>
      <c r="N26" s="35">
        <v>983</v>
      </c>
      <c r="O26" s="36">
        <v>114</v>
      </c>
      <c r="Q26" s="26"/>
      <c r="R26" s="10"/>
    </row>
    <row r="27" spans="1:18" x14ac:dyDescent="0.25">
      <c r="A27" s="33">
        <v>14</v>
      </c>
      <c r="B27" s="34">
        <v>45487</v>
      </c>
      <c r="C27" s="35" t="s">
        <v>446</v>
      </c>
      <c r="D27" s="35" t="s">
        <v>13</v>
      </c>
      <c r="E27" s="35" t="s">
        <v>411</v>
      </c>
      <c r="F27" s="35">
        <v>873</v>
      </c>
      <c r="G27" s="35">
        <v>67</v>
      </c>
      <c r="H27" s="35">
        <v>131</v>
      </c>
      <c r="I27" s="35">
        <v>543</v>
      </c>
      <c r="J27" s="35">
        <v>125</v>
      </c>
      <c r="K27" s="35">
        <v>529</v>
      </c>
      <c r="L27" s="35">
        <v>957</v>
      </c>
      <c r="M27" s="35">
        <v>260</v>
      </c>
      <c r="N27" s="35">
        <v>115</v>
      </c>
      <c r="O27" s="36">
        <v>934</v>
      </c>
      <c r="Q27" s="26"/>
      <c r="R27" s="10"/>
    </row>
    <row r="28" spans="1:18" x14ac:dyDescent="0.25">
      <c r="A28" s="33">
        <v>15</v>
      </c>
      <c r="B28" s="34">
        <v>45519</v>
      </c>
      <c r="C28" s="35" t="s">
        <v>447</v>
      </c>
      <c r="D28" s="35" t="s">
        <v>587</v>
      </c>
      <c r="E28" s="35" t="s">
        <v>414</v>
      </c>
      <c r="F28" s="35">
        <v>786</v>
      </c>
      <c r="G28" s="35">
        <v>842</v>
      </c>
      <c r="H28" s="35">
        <v>597</v>
      </c>
      <c r="I28" s="35">
        <v>920</v>
      </c>
      <c r="J28" s="35">
        <v>404</v>
      </c>
      <c r="K28" s="35">
        <v>227</v>
      </c>
      <c r="L28" s="35">
        <v>26</v>
      </c>
      <c r="M28" s="35">
        <v>639</v>
      </c>
      <c r="N28" s="35">
        <v>160</v>
      </c>
      <c r="O28" s="36">
        <v>138</v>
      </c>
      <c r="Q28" s="26"/>
      <c r="R28" s="10"/>
    </row>
    <row r="29" spans="1:18" x14ac:dyDescent="0.25">
      <c r="A29" s="33">
        <v>13</v>
      </c>
      <c r="B29" s="34">
        <v>45425</v>
      </c>
      <c r="C29" s="35" t="s">
        <v>448</v>
      </c>
      <c r="D29" s="35" t="s">
        <v>587</v>
      </c>
      <c r="E29" s="35" t="s">
        <v>588</v>
      </c>
      <c r="F29" s="35">
        <v>647</v>
      </c>
      <c r="G29" s="35">
        <v>842</v>
      </c>
      <c r="H29" s="35">
        <v>199</v>
      </c>
      <c r="I29" s="35">
        <v>368</v>
      </c>
      <c r="J29" s="35">
        <v>406</v>
      </c>
      <c r="K29" s="35">
        <v>353</v>
      </c>
      <c r="L29" s="35">
        <v>599</v>
      </c>
      <c r="M29" s="35">
        <v>96</v>
      </c>
      <c r="N29" s="35">
        <v>810</v>
      </c>
      <c r="O29" s="36">
        <v>94</v>
      </c>
      <c r="Q29" s="26"/>
      <c r="R29" s="10"/>
    </row>
    <row r="30" spans="1:18" x14ac:dyDescent="0.25">
      <c r="A30" s="33">
        <v>15</v>
      </c>
      <c r="B30" s="34">
        <v>45366</v>
      </c>
      <c r="C30" s="35" t="s">
        <v>449</v>
      </c>
      <c r="D30" s="35" t="s">
        <v>12</v>
      </c>
      <c r="E30" s="35" t="s">
        <v>419</v>
      </c>
      <c r="F30" s="35">
        <v>747</v>
      </c>
      <c r="G30" s="35">
        <v>147</v>
      </c>
      <c r="H30" s="35">
        <v>264</v>
      </c>
      <c r="I30" s="35">
        <v>246</v>
      </c>
      <c r="J30" s="35">
        <v>13</v>
      </c>
      <c r="K30" s="35">
        <v>579</v>
      </c>
      <c r="L30" s="35">
        <v>791</v>
      </c>
      <c r="M30" s="35">
        <v>501</v>
      </c>
      <c r="N30" s="35">
        <v>752</v>
      </c>
      <c r="O30" s="36">
        <v>275</v>
      </c>
      <c r="Q30" s="26"/>
      <c r="R30" s="10"/>
    </row>
    <row r="31" spans="1:18" x14ac:dyDescent="0.25">
      <c r="A31" s="33">
        <v>28</v>
      </c>
      <c r="B31" s="34">
        <v>45501</v>
      </c>
      <c r="C31" s="35" t="s">
        <v>450</v>
      </c>
      <c r="D31" s="35" t="s">
        <v>52</v>
      </c>
      <c r="E31" s="35" t="s">
        <v>193</v>
      </c>
      <c r="F31" s="35">
        <v>40</v>
      </c>
      <c r="G31" s="35">
        <v>740</v>
      </c>
      <c r="H31" s="35">
        <v>606</v>
      </c>
      <c r="I31" s="35">
        <v>22</v>
      </c>
      <c r="J31" s="35">
        <v>426</v>
      </c>
      <c r="K31" s="35">
        <v>228</v>
      </c>
      <c r="L31" s="35">
        <v>533</v>
      </c>
      <c r="M31" s="35">
        <v>551</v>
      </c>
      <c r="N31" s="35">
        <v>674</v>
      </c>
      <c r="O31" s="36">
        <v>642</v>
      </c>
      <c r="Q31" s="26"/>
      <c r="R31" s="10"/>
    </row>
    <row r="32" spans="1:18" x14ac:dyDescent="0.25">
      <c r="A32" s="33">
        <v>23</v>
      </c>
      <c r="B32" s="34">
        <v>45588</v>
      </c>
      <c r="C32" s="35" t="s">
        <v>451</v>
      </c>
      <c r="D32" s="35" t="s">
        <v>12</v>
      </c>
      <c r="E32" s="35" t="s">
        <v>588</v>
      </c>
      <c r="F32" s="35">
        <v>395</v>
      </c>
      <c r="G32" s="35">
        <v>769</v>
      </c>
      <c r="H32" s="35">
        <v>465</v>
      </c>
      <c r="I32" s="35">
        <v>859</v>
      </c>
      <c r="J32" s="35">
        <v>33</v>
      </c>
      <c r="K32" s="35">
        <v>979</v>
      </c>
      <c r="L32" s="35">
        <v>951</v>
      </c>
      <c r="M32" s="35">
        <v>108</v>
      </c>
      <c r="N32" s="35">
        <v>744</v>
      </c>
      <c r="O32" s="36">
        <v>955</v>
      </c>
      <c r="Q32" s="26"/>
      <c r="R32" s="10"/>
    </row>
    <row r="33" spans="1:18" x14ac:dyDescent="0.25">
      <c r="A33" s="33">
        <v>30</v>
      </c>
      <c r="B33" s="34">
        <v>45565</v>
      </c>
      <c r="C33" s="35" t="s">
        <v>452</v>
      </c>
      <c r="D33" s="35" t="s">
        <v>587</v>
      </c>
      <c r="E33" s="35" t="s">
        <v>193</v>
      </c>
      <c r="F33" s="35">
        <v>465</v>
      </c>
      <c r="G33" s="35">
        <v>155</v>
      </c>
      <c r="H33" s="35">
        <v>750</v>
      </c>
      <c r="I33" s="35">
        <v>416</v>
      </c>
      <c r="J33" s="35">
        <v>149</v>
      </c>
      <c r="K33" s="35">
        <v>933</v>
      </c>
      <c r="L33" s="35">
        <v>451</v>
      </c>
      <c r="M33" s="35">
        <v>95</v>
      </c>
      <c r="N33" s="35">
        <v>450</v>
      </c>
      <c r="O33" s="36">
        <v>787</v>
      </c>
      <c r="Q33" s="26"/>
      <c r="R33" s="10"/>
    </row>
    <row r="34" spans="1:18" x14ac:dyDescent="0.25">
      <c r="A34" s="33">
        <v>20</v>
      </c>
      <c r="B34" s="34">
        <v>45616</v>
      </c>
      <c r="C34" s="35" t="s">
        <v>453</v>
      </c>
      <c r="D34" s="35" t="s">
        <v>12</v>
      </c>
      <c r="E34" s="35" t="s">
        <v>414</v>
      </c>
      <c r="F34" s="35">
        <v>651</v>
      </c>
      <c r="G34" s="35">
        <v>134</v>
      </c>
      <c r="H34" s="35">
        <v>599</v>
      </c>
      <c r="I34" s="35">
        <v>992</v>
      </c>
      <c r="J34" s="35">
        <v>748</v>
      </c>
      <c r="K34" s="35">
        <v>129</v>
      </c>
      <c r="L34" s="35">
        <v>78</v>
      </c>
      <c r="M34" s="35">
        <v>501</v>
      </c>
      <c r="N34" s="35">
        <v>682</v>
      </c>
      <c r="O34" s="36">
        <v>848</v>
      </c>
    </row>
    <row r="35" spans="1:18" x14ac:dyDescent="0.25">
      <c r="A35" s="33">
        <v>26</v>
      </c>
      <c r="B35" s="34">
        <v>45652</v>
      </c>
      <c r="C35" s="35" t="s">
        <v>454</v>
      </c>
      <c r="D35" s="35" t="s">
        <v>587</v>
      </c>
      <c r="E35" s="35" t="s">
        <v>413</v>
      </c>
      <c r="F35" s="35">
        <v>384</v>
      </c>
      <c r="G35" s="35">
        <v>489</v>
      </c>
      <c r="H35" s="35">
        <v>683</v>
      </c>
      <c r="I35" s="35">
        <v>976</v>
      </c>
      <c r="J35" s="35">
        <v>300</v>
      </c>
      <c r="K35" s="35">
        <v>712</v>
      </c>
      <c r="L35" s="35">
        <v>373</v>
      </c>
      <c r="M35" s="35">
        <v>834</v>
      </c>
      <c r="N35" s="35">
        <v>641</v>
      </c>
      <c r="O35" s="36">
        <v>158</v>
      </c>
    </row>
    <row r="36" spans="1:18" x14ac:dyDescent="0.25">
      <c r="A36" s="33">
        <v>23</v>
      </c>
      <c r="B36" s="34">
        <v>45558</v>
      </c>
      <c r="C36" s="35" t="s">
        <v>455</v>
      </c>
      <c r="D36" s="35" t="s">
        <v>12</v>
      </c>
      <c r="E36" s="35" t="s">
        <v>588</v>
      </c>
      <c r="F36" s="35">
        <v>197</v>
      </c>
      <c r="G36" s="35">
        <v>415</v>
      </c>
      <c r="H36" s="35">
        <v>111</v>
      </c>
      <c r="I36" s="35">
        <v>282</v>
      </c>
      <c r="J36" s="35">
        <v>4</v>
      </c>
      <c r="K36" s="35">
        <v>784</v>
      </c>
      <c r="L36" s="35">
        <v>482</v>
      </c>
      <c r="M36" s="35">
        <v>795</v>
      </c>
      <c r="N36" s="35">
        <v>609</v>
      </c>
      <c r="O36" s="36">
        <v>544</v>
      </c>
    </row>
    <row r="37" spans="1:18" x14ac:dyDescent="0.25">
      <c r="A37" s="33">
        <v>8</v>
      </c>
      <c r="B37" s="34">
        <v>45543</v>
      </c>
      <c r="C37" s="35" t="s">
        <v>456</v>
      </c>
      <c r="D37" s="35" t="s">
        <v>587</v>
      </c>
      <c r="E37" s="35" t="s">
        <v>414</v>
      </c>
      <c r="F37" s="35">
        <v>318</v>
      </c>
      <c r="G37" s="35">
        <v>618</v>
      </c>
      <c r="H37" s="35">
        <v>605</v>
      </c>
      <c r="I37" s="35">
        <v>158</v>
      </c>
      <c r="J37" s="35">
        <v>950</v>
      </c>
      <c r="K37" s="35">
        <v>511</v>
      </c>
      <c r="L37" s="35">
        <v>30</v>
      </c>
      <c r="M37" s="35">
        <v>359</v>
      </c>
      <c r="N37" s="35">
        <v>365</v>
      </c>
      <c r="O37" s="36">
        <v>805</v>
      </c>
    </row>
    <row r="38" spans="1:18" x14ac:dyDescent="0.25">
      <c r="A38" s="33">
        <v>17</v>
      </c>
      <c r="B38" s="34">
        <v>45308</v>
      </c>
      <c r="C38" s="35" t="s">
        <v>457</v>
      </c>
      <c r="D38" s="35" t="s">
        <v>13</v>
      </c>
      <c r="E38" s="35" t="s">
        <v>414</v>
      </c>
      <c r="F38" s="35">
        <v>532</v>
      </c>
      <c r="G38" s="35">
        <v>795</v>
      </c>
      <c r="H38" s="35">
        <v>180</v>
      </c>
      <c r="I38" s="35">
        <v>944</v>
      </c>
      <c r="J38" s="35">
        <v>579</v>
      </c>
      <c r="K38" s="35">
        <v>459</v>
      </c>
      <c r="L38" s="35">
        <v>177</v>
      </c>
      <c r="M38" s="35">
        <v>242</v>
      </c>
      <c r="N38" s="35">
        <v>484</v>
      </c>
      <c r="O38" s="36">
        <v>721</v>
      </c>
    </row>
    <row r="39" spans="1:18" x14ac:dyDescent="0.25">
      <c r="A39" s="33">
        <v>17</v>
      </c>
      <c r="B39" s="34">
        <v>45613</v>
      </c>
      <c r="C39" s="35" t="s">
        <v>458</v>
      </c>
      <c r="D39" s="35" t="s">
        <v>587</v>
      </c>
      <c r="E39" s="35" t="s">
        <v>419</v>
      </c>
      <c r="F39" s="35">
        <v>300</v>
      </c>
      <c r="G39" s="35">
        <v>604</v>
      </c>
      <c r="H39" s="35">
        <v>782</v>
      </c>
      <c r="I39" s="35">
        <v>813</v>
      </c>
      <c r="J39" s="35">
        <v>55</v>
      </c>
      <c r="K39" s="35">
        <v>10</v>
      </c>
      <c r="L39" s="35">
        <v>837</v>
      </c>
      <c r="M39" s="35">
        <v>563</v>
      </c>
      <c r="N39" s="35">
        <v>362</v>
      </c>
      <c r="O39" s="36">
        <v>872</v>
      </c>
    </row>
    <row r="40" spans="1:18" x14ac:dyDescent="0.25">
      <c r="A40" s="33">
        <v>3</v>
      </c>
      <c r="B40" s="34">
        <v>45415</v>
      </c>
      <c r="C40" s="35" t="s">
        <v>459</v>
      </c>
      <c r="D40" s="35" t="s">
        <v>52</v>
      </c>
      <c r="E40" s="35" t="s">
        <v>413</v>
      </c>
      <c r="F40" s="35">
        <v>609</v>
      </c>
      <c r="G40" s="35">
        <v>381</v>
      </c>
      <c r="H40" s="35">
        <v>791</v>
      </c>
      <c r="I40" s="35">
        <v>629</v>
      </c>
      <c r="J40" s="35">
        <v>143</v>
      </c>
      <c r="K40" s="35">
        <v>149</v>
      </c>
      <c r="L40" s="35">
        <v>787</v>
      </c>
      <c r="M40" s="35">
        <v>993</v>
      </c>
      <c r="N40" s="35">
        <v>912</v>
      </c>
      <c r="O40" s="36">
        <v>888</v>
      </c>
    </row>
    <row r="41" spans="1:18" x14ac:dyDescent="0.25">
      <c r="A41" s="33">
        <v>29</v>
      </c>
      <c r="B41" s="34">
        <v>45502</v>
      </c>
      <c r="C41" s="35" t="s">
        <v>460</v>
      </c>
      <c r="D41" s="35" t="s">
        <v>15</v>
      </c>
      <c r="E41" s="35" t="s">
        <v>413</v>
      </c>
      <c r="F41" s="35">
        <v>109</v>
      </c>
      <c r="G41" s="35">
        <v>681</v>
      </c>
      <c r="H41" s="35">
        <v>756</v>
      </c>
      <c r="I41" s="35">
        <v>595</v>
      </c>
      <c r="J41" s="35">
        <v>834</v>
      </c>
      <c r="K41" s="35">
        <v>29</v>
      </c>
      <c r="L41" s="35">
        <v>912</v>
      </c>
      <c r="M41" s="35">
        <v>109</v>
      </c>
      <c r="N41" s="35">
        <v>789</v>
      </c>
      <c r="O41" s="36">
        <v>102</v>
      </c>
    </row>
    <row r="42" spans="1:18" x14ac:dyDescent="0.25">
      <c r="A42" s="33">
        <v>21</v>
      </c>
      <c r="B42" s="34">
        <v>45464</v>
      </c>
      <c r="C42" s="35" t="s">
        <v>461</v>
      </c>
      <c r="D42" s="35" t="s">
        <v>13</v>
      </c>
      <c r="E42" s="35" t="s">
        <v>193</v>
      </c>
      <c r="F42" s="35">
        <v>544</v>
      </c>
      <c r="G42" s="35">
        <v>739</v>
      </c>
      <c r="H42" s="35">
        <v>352</v>
      </c>
      <c r="I42" s="35">
        <v>565</v>
      </c>
      <c r="J42" s="35">
        <v>699</v>
      </c>
      <c r="K42" s="35">
        <v>63</v>
      </c>
      <c r="L42" s="35">
        <v>962</v>
      </c>
      <c r="M42" s="35">
        <v>666</v>
      </c>
      <c r="N42" s="35">
        <v>150</v>
      </c>
      <c r="O42" s="36">
        <v>435</v>
      </c>
    </row>
    <row r="43" spans="1:18" x14ac:dyDescent="0.25">
      <c r="A43" s="33">
        <v>11</v>
      </c>
      <c r="B43" s="34">
        <v>45546</v>
      </c>
      <c r="C43" s="35" t="s">
        <v>462</v>
      </c>
      <c r="D43" s="35" t="s">
        <v>190</v>
      </c>
      <c r="E43" s="35" t="s">
        <v>588</v>
      </c>
      <c r="F43" s="35">
        <v>464</v>
      </c>
      <c r="G43" s="35">
        <v>728</v>
      </c>
      <c r="H43" s="35">
        <v>685</v>
      </c>
      <c r="I43" s="35">
        <v>877</v>
      </c>
      <c r="J43" s="35">
        <v>411</v>
      </c>
      <c r="K43" s="35">
        <v>267</v>
      </c>
      <c r="L43" s="35">
        <v>789</v>
      </c>
      <c r="M43" s="35">
        <v>782</v>
      </c>
      <c r="N43" s="35">
        <v>241</v>
      </c>
      <c r="O43" s="36">
        <v>285</v>
      </c>
    </row>
    <row r="44" spans="1:18" x14ac:dyDescent="0.25">
      <c r="A44" s="33">
        <v>29</v>
      </c>
      <c r="B44" s="34">
        <v>45320</v>
      </c>
      <c r="C44" s="35" t="s">
        <v>463</v>
      </c>
      <c r="D44" s="35" t="s">
        <v>12</v>
      </c>
      <c r="E44" s="35" t="s">
        <v>588</v>
      </c>
      <c r="F44" s="35">
        <v>111</v>
      </c>
      <c r="G44" s="35">
        <v>19</v>
      </c>
      <c r="H44" s="35">
        <v>276</v>
      </c>
      <c r="I44" s="35">
        <v>277</v>
      </c>
      <c r="J44" s="35">
        <v>363</v>
      </c>
      <c r="K44" s="35">
        <v>305</v>
      </c>
      <c r="L44" s="35">
        <v>863</v>
      </c>
      <c r="M44" s="35">
        <v>832</v>
      </c>
      <c r="N44" s="35">
        <v>676</v>
      </c>
      <c r="O44" s="36">
        <v>804</v>
      </c>
    </row>
    <row r="45" spans="1:18" x14ac:dyDescent="0.25">
      <c r="A45" s="33">
        <v>4</v>
      </c>
      <c r="B45" s="34">
        <v>45477</v>
      </c>
      <c r="C45" s="35" t="s">
        <v>464</v>
      </c>
      <c r="D45" s="35" t="s">
        <v>52</v>
      </c>
      <c r="E45" s="35" t="s">
        <v>193</v>
      </c>
      <c r="F45" s="35">
        <v>496</v>
      </c>
      <c r="G45" s="35">
        <v>893</v>
      </c>
      <c r="H45" s="35">
        <v>294</v>
      </c>
      <c r="I45" s="35">
        <v>178</v>
      </c>
      <c r="J45" s="35">
        <v>399</v>
      </c>
      <c r="K45" s="35">
        <v>407</v>
      </c>
      <c r="L45" s="35">
        <v>715</v>
      </c>
      <c r="M45" s="35">
        <v>310</v>
      </c>
      <c r="N45" s="35">
        <v>496</v>
      </c>
      <c r="O45" s="36">
        <v>673</v>
      </c>
    </row>
    <row r="46" spans="1:18" x14ac:dyDescent="0.25">
      <c r="A46" s="33">
        <v>2</v>
      </c>
      <c r="B46" s="34">
        <v>45628</v>
      </c>
      <c r="C46" s="35" t="s">
        <v>465</v>
      </c>
      <c r="D46" s="35" t="s">
        <v>52</v>
      </c>
      <c r="E46" s="35" t="s">
        <v>193</v>
      </c>
      <c r="F46" s="35">
        <v>73</v>
      </c>
      <c r="G46" s="35">
        <v>58</v>
      </c>
      <c r="H46" s="35">
        <v>818</v>
      </c>
      <c r="I46" s="35">
        <v>230</v>
      </c>
      <c r="J46" s="35">
        <v>552</v>
      </c>
      <c r="K46" s="35">
        <v>292</v>
      </c>
      <c r="L46" s="35">
        <v>728</v>
      </c>
      <c r="M46" s="35">
        <v>88</v>
      </c>
      <c r="N46" s="35">
        <v>411</v>
      </c>
      <c r="O46" s="36">
        <v>101</v>
      </c>
    </row>
    <row r="47" spans="1:18" x14ac:dyDescent="0.25">
      <c r="A47" s="33">
        <v>13</v>
      </c>
      <c r="B47" s="34">
        <v>45304</v>
      </c>
      <c r="C47" s="35" t="s">
        <v>466</v>
      </c>
      <c r="D47" s="35" t="s">
        <v>12</v>
      </c>
      <c r="E47" s="35" t="s">
        <v>193</v>
      </c>
      <c r="F47" s="35">
        <v>574</v>
      </c>
      <c r="G47" s="35">
        <v>269</v>
      </c>
      <c r="H47" s="35">
        <v>230</v>
      </c>
      <c r="I47" s="35">
        <v>775</v>
      </c>
      <c r="J47" s="35">
        <v>772</v>
      </c>
      <c r="K47" s="35">
        <v>564</v>
      </c>
      <c r="L47" s="35">
        <v>673</v>
      </c>
      <c r="M47" s="35">
        <v>615</v>
      </c>
      <c r="N47" s="35">
        <v>37</v>
      </c>
      <c r="O47" s="36">
        <v>779</v>
      </c>
    </row>
    <row r="48" spans="1:18" x14ac:dyDescent="0.25">
      <c r="A48" s="33">
        <v>7</v>
      </c>
      <c r="B48" s="34">
        <v>45511</v>
      </c>
      <c r="C48" s="35" t="s">
        <v>467</v>
      </c>
      <c r="D48" s="35" t="s">
        <v>587</v>
      </c>
      <c r="E48" s="35" t="s">
        <v>193</v>
      </c>
      <c r="F48" s="35">
        <v>746</v>
      </c>
      <c r="G48" s="35">
        <v>276</v>
      </c>
      <c r="H48" s="35">
        <v>435</v>
      </c>
      <c r="I48" s="35">
        <v>305</v>
      </c>
      <c r="J48" s="35">
        <v>152</v>
      </c>
      <c r="K48" s="35">
        <v>51</v>
      </c>
      <c r="L48" s="35">
        <v>259</v>
      </c>
      <c r="M48" s="35">
        <v>759</v>
      </c>
      <c r="N48" s="35">
        <v>77</v>
      </c>
      <c r="O48" s="36">
        <v>437</v>
      </c>
    </row>
    <row r="49" spans="1:15" x14ac:dyDescent="0.25">
      <c r="A49" s="33">
        <v>24</v>
      </c>
      <c r="B49" s="34">
        <v>45436</v>
      </c>
      <c r="C49" s="35" t="s">
        <v>468</v>
      </c>
      <c r="D49" s="35" t="s">
        <v>15</v>
      </c>
      <c r="E49" s="35" t="s">
        <v>413</v>
      </c>
      <c r="F49" s="35">
        <v>330</v>
      </c>
      <c r="G49" s="35">
        <v>580</v>
      </c>
      <c r="H49" s="35">
        <v>469</v>
      </c>
      <c r="I49" s="35">
        <v>90</v>
      </c>
      <c r="J49" s="35">
        <v>826</v>
      </c>
      <c r="K49" s="35">
        <v>241</v>
      </c>
      <c r="L49" s="35">
        <v>341</v>
      </c>
      <c r="M49" s="35">
        <v>235</v>
      </c>
      <c r="N49" s="35">
        <v>488</v>
      </c>
      <c r="O49" s="36">
        <v>110</v>
      </c>
    </row>
    <row r="50" spans="1:15" x14ac:dyDescent="0.25">
      <c r="A50" s="33">
        <v>5</v>
      </c>
      <c r="B50" s="34">
        <v>45356</v>
      </c>
      <c r="C50" s="35" t="s">
        <v>469</v>
      </c>
      <c r="D50" s="35" t="s">
        <v>15</v>
      </c>
      <c r="E50" s="35" t="s">
        <v>419</v>
      </c>
      <c r="F50" s="35">
        <v>166</v>
      </c>
      <c r="G50" s="35">
        <v>891</v>
      </c>
      <c r="H50" s="35">
        <v>910</v>
      </c>
      <c r="I50" s="35">
        <v>495</v>
      </c>
      <c r="J50" s="35">
        <v>423</v>
      </c>
      <c r="K50" s="35">
        <v>712</v>
      </c>
      <c r="L50" s="35">
        <v>713</v>
      </c>
      <c r="M50" s="35">
        <v>678</v>
      </c>
      <c r="N50" s="35">
        <v>82</v>
      </c>
      <c r="O50" s="36">
        <v>16</v>
      </c>
    </row>
    <row r="51" spans="1:15" x14ac:dyDescent="0.25">
      <c r="A51" s="33">
        <v>3</v>
      </c>
      <c r="B51" s="34">
        <v>45294</v>
      </c>
      <c r="C51" s="35" t="s">
        <v>470</v>
      </c>
      <c r="D51" s="35" t="s">
        <v>13</v>
      </c>
      <c r="E51" s="35" t="s">
        <v>588</v>
      </c>
      <c r="F51" s="35">
        <v>478</v>
      </c>
      <c r="G51" s="35">
        <v>555</v>
      </c>
      <c r="H51" s="35">
        <v>963</v>
      </c>
      <c r="I51" s="35">
        <v>379</v>
      </c>
      <c r="J51" s="35">
        <v>285</v>
      </c>
      <c r="K51" s="35">
        <v>733</v>
      </c>
      <c r="L51" s="35">
        <v>434</v>
      </c>
      <c r="M51" s="35">
        <v>327</v>
      </c>
      <c r="N51" s="35">
        <v>403</v>
      </c>
      <c r="O51" s="36">
        <v>294</v>
      </c>
    </row>
    <row r="52" spans="1:15" x14ac:dyDescent="0.25">
      <c r="A52" s="33">
        <v>29</v>
      </c>
      <c r="B52" s="34">
        <v>45533</v>
      </c>
      <c r="C52" s="35" t="s">
        <v>471</v>
      </c>
      <c r="D52" s="35" t="s">
        <v>587</v>
      </c>
      <c r="E52" s="35" t="s">
        <v>419</v>
      </c>
      <c r="F52" s="35">
        <v>866</v>
      </c>
      <c r="G52" s="35">
        <v>928</v>
      </c>
      <c r="H52" s="35">
        <v>603</v>
      </c>
      <c r="I52" s="35">
        <v>456</v>
      </c>
      <c r="J52" s="35">
        <v>188</v>
      </c>
      <c r="K52" s="35">
        <v>686</v>
      </c>
      <c r="L52" s="35">
        <v>273</v>
      </c>
      <c r="M52" s="35">
        <v>691</v>
      </c>
      <c r="N52" s="35">
        <v>585</v>
      </c>
      <c r="O52" s="36">
        <v>4</v>
      </c>
    </row>
    <row r="53" spans="1:15" x14ac:dyDescent="0.25">
      <c r="A53" s="33">
        <v>1</v>
      </c>
      <c r="B53" s="34">
        <v>45505</v>
      </c>
      <c r="C53" s="35" t="s">
        <v>472</v>
      </c>
      <c r="D53" s="35" t="s">
        <v>190</v>
      </c>
      <c r="E53" s="35" t="s">
        <v>193</v>
      </c>
      <c r="F53" s="35">
        <v>521</v>
      </c>
      <c r="G53" s="35">
        <v>983</v>
      </c>
      <c r="H53" s="35">
        <v>641</v>
      </c>
      <c r="I53" s="35">
        <v>646</v>
      </c>
      <c r="J53" s="35">
        <v>323</v>
      </c>
      <c r="K53" s="35">
        <v>505</v>
      </c>
      <c r="L53" s="35">
        <v>35</v>
      </c>
      <c r="M53" s="35">
        <v>577</v>
      </c>
      <c r="N53" s="35">
        <v>842</v>
      </c>
      <c r="O53" s="36">
        <v>73</v>
      </c>
    </row>
    <row r="54" spans="1:15" x14ac:dyDescent="0.25">
      <c r="A54" s="33">
        <v>14</v>
      </c>
      <c r="B54" s="34">
        <v>45396</v>
      </c>
      <c r="C54" s="35" t="s">
        <v>473</v>
      </c>
      <c r="D54" s="35" t="s">
        <v>12</v>
      </c>
      <c r="E54" s="35" t="s">
        <v>414</v>
      </c>
      <c r="F54" s="35">
        <v>643</v>
      </c>
      <c r="G54" s="35">
        <v>108</v>
      </c>
      <c r="H54" s="35">
        <v>477</v>
      </c>
      <c r="I54" s="35">
        <v>879</v>
      </c>
      <c r="J54" s="35">
        <v>857</v>
      </c>
      <c r="K54" s="35">
        <v>962</v>
      </c>
      <c r="L54" s="35">
        <v>430</v>
      </c>
      <c r="M54" s="35">
        <v>322</v>
      </c>
      <c r="N54" s="35">
        <v>818</v>
      </c>
      <c r="O54" s="36">
        <v>718</v>
      </c>
    </row>
    <row r="55" spans="1:15" x14ac:dyDescent="0.25">
      <c r="A55" s="33">
        <v>25</v>
      </c>
      <c r="B55" s="34">
        <v>45498</v>
      </c>
      <c r="C55" s="35" t="s">
        <v>474</v>
      </c>
      <c r="D55" s="35" t="s">
        <v>15</v>
      </c>
      <c r="E55" s="35" t="s">
        <v>419</v>
      </c>
      <c r="F55" s="35">
        <v>213</v>
      </c>
      <c r="G55" s="35">
        <v>200</v>
      </c>
      <c r="H55" s="35">
        <v>431</v>
      </c>
      <c r="I55" s="35">
        <v>736</v>
      </c>
      <c r="J55" s="35">
        <v>354</v>
      </c>
      <c r="K55" s="35">
        <v>767</v>
      </c>
      <c r="L55" s="35">
        <v>185</v>
      </c>
      <c r="M55" s="35">
        <v>866</v>
      </c>
      <c r="N55" s="35">
        <v>285</v>
      </c>
      <c r="O55" s="36">
        <v>53</v>
      </c>
    </row>
    <row r="56" spans="1:15" x14ac:dyDescent="0.25">
      <c r="A56" s="33">
        <v>11</v>
      </c>
      <c r="B56" s="34">
        <v>45454</v>
      </c>
      <c r="C56" s="35" t="s">
        <v>475</v>
      </c>
      <c r="D56" s="35" t="s">
        <v>15</v>
      </c>
      <c r="E56" s="35" t="s">
        <v>588</v>
      </c>
      <c r="F56" s="35">
        <v>788</v>
      </c>
      <c r="G56" s="35">
        <v>736</v>
      </c>
      <c r="H56" s="35">
        <v>722</v>
      </c>
      <c r="I56" s="35">
        <v>319</v>
      </c>
      <c r="J56" s="35">
        <v>784</v>
      </c>
      <c r="K56" s="35">
        <v>784</v>
      </c>
      <c r="L56" s="35">
        <v>404</v>
      </c>
      <c r="M56" s="35">
        <v>569</v>
      </c>
      <c r="N56" s="35">
        <v>10</v>
      </c>
      <c r="O56" s="36">
        <v>94</v>
      </c>
    </row>
    <row r="57" spans="1:15" x14ac:dyDescent="0.25">
      <c r="A57" s="33">
        <v>5</v>
      </c>
      <c r="B57" s="34">
        <v>45417</v>
      </c>
      <c r="C57" s="35" t="s">
        <v>476</v>
      </c>
      <c r="D57" s="35" t="s">
        <v>12</v>
      </c>
      <c r="E57" s="35" t="s">
        <v>419</v>
      </c>
      <c r="F57" s="35">
        <v>809</v>
      </c>
      <c r="G57" s="35">
        <v>261</v>
      </c>
      <c r="H57" s="35">
        <v>248</v>
      </c>
      <c r="I57" s="35">
        <v>486</v>
      </c>
      <c r="J57" s="35">
        <v>949</v>
      </c>
      <c r="K57" s="35">
        <v>10</v>
      </c>
      <c r="L57" s="35">
        <v>187</v>
      </c>
      <c r="M57" s="35">
        <v>584</v>
      </c>
      <c r="N57" s="35">
        <v>676</v>
      </c>
      <c r="O57" s="36">
        <v>208</v>
      </c>
    </row>
    <row r="58" spans="1:15" x14ac:dyDescent="0.25">
      <c r="A58" s="33">
        <v>31</v>
      </c>
      <c r="B58" s="34">
        <v>45443</v>
      </c>
      <c r="C58" s="35" t="s">
        <v>477</v>
      </c>
      <c r="D58" s="35" t="s">
        <v>12</v>
      </c>
      <c r="E58" s="35" t="s">
        <v>193</v>
      </c>
      <c r="F58" s="35">
        <v>994</v>
      </c>
      <c r="G58" s="35">
        <v>29</v>
      </c>
      <c r="H58" s="35">
        <v>288</v>
      </c>
      <c r="I58" s="35">
        <v>395</v>
      </c>
      <c r="J58" s="35">
        <v>110</v>
      </c>
      <c r="K58" s="35">
        <v>793</v>
      </c>
      <c r="L58" s="35">
        <v>240</v>
      </c>
      <c r="M58" s="35">
        <v>882</v>
      </c>
      <c r="N58" s="35">
        <v>716</v>
      </c>
      <c r="O58" s="36">
        <v>38</v>
      </c>
    </row>
    <row r="59" spans="1:15" x14ac:dyDescent="0.25">
      <c r="A59" s="33">
        <v>1</v>
      </c>
      <c r="B59" s="34">
        <v>45566</v>
      </c>
      <c r="C59" s="35" t="s">
        <v>478</v>
      </c>
      <c r="D59" s="35" t="s">
        <v>190</v>
      </c>
      <c r="E59" s="35" t="s">
        <v>413</v>
      </c>
      <c r="F59" s="35">
        <v>766</v>
      </c>
      <c r="G59" s="35">
        <v>382</v>
      </c>
      <c r="H59" s="35">
        <v>975</v>
      </c>
      <c r="I59" s="35">
        <v>274</v>
      </c>
      <c r="J59" s="35">
        <v>255</v>
      </c>
      <c r="K59" s="35">
        <v>998</v>
      </c>
      <c r="L59" s="35">
        <v>263</v>
      </c>
      <c r="M59" s="35">
        <v>232</v>
      </c>
      <c r="N59" s="35">
        <v>824</v>
      </c>
      <c r="O59" s="36">
        <v>175</v>
      </c>
    </row>
    <row r="60" spans="1:15" x14ac:dyDescent="0.25">
      <c r="A60" s="33">
        <v>14</v>
      </c>
      <c r="B60" s="34">
        <v>45457</v>
      </c>
      <c r="C60" s="35" t="s">
        <v>479</v>
      </c>
      <c r="D60" s="35" t="s">
        <v>15</v>
      </c>
      <c r="E60" s="35" t="s">
        <v>419</v>
      </c>
      <c r="F60" s="35">
        <v>62</v>
      </c>
      <c r="G60" s="35">
        <v>66</v>
      </c>
      <c r="H60" s="35">
        <v>332</v>
      </c>
      <c r="I60" s="35">
        <v>53</v>
      </c>
      <c r="J60" s="35">
        <v>297</v>
      </c>
      <c r="K60" s="35">
        <v>621</v>
      </c>
      <c r="L60" s="35">
        <v>72</v>
      </c>
      <c r="M60" s="35">
        <v>159</v>
      </c>
      <c r="N60" s="35">
        <v>58</v>
      </c>
      <c r="O60" s="36">
        <v>222</v>
      </c>
    </row>
    <row r="61" spans="1:15" x14ac:dyDescent="0.25">
      <c r="A61" s="33">
        <v>24</v>
      </c>
      <c r="B61" s="34">
        <v>45589</v>
      </c>
      <c r="C61" s="35" t="s">
        <v>480</v>
      </c>
      <c r="D61" s="35" t="s">
        <v>190</v>
      </c>
      <c r="E61" s="35" t="s">
        <v>419</v>
      </c>
      <c r="F61" s="35">
        <v>181</v>
      </c>
      <c r="G61" s="35">
        <v>105</v>
      </c>
      <c r="H61" s="35">
        <v>679</v>
      </c>
      <c r="I61" s="35">
        <v>47</v>
      </c>
      <c r="J61" s="35">
        <v>566</v>
      </c>
      <c r="K61" s="35">
        <v>780</v>
      </c>
      <c r="L61" s="35">
        <v>304</v>
      </c>
      <c r="M61" s="35">
        <v>51</v>
      </c>
      <c r="N61" s="35">
        <v>703</v>
      </c>
      <c r="O61" s="36">
        <v>320</v>
      </c>
    </row>
    <row r="62" spans="1:15" x14ac:dyDescent="0.25">
      <c r="A62" s="33">
        <v>24</v>
      </c>
      <c r="B62" s="34">
        <v>45406</v>
      </c>
      <c r="C62" s="35" t="s">
        <v>481</v>
      </c>
      <c r="D62" s="35" t="s">
        <v>190</v>
      </c>
      <c r="E62" s="35" t="s">
        <v>413</v>
      </c>
      <c r="F62" s="35">
        <v>464</v>
      </c>
      <c r="G62" s="35">
        <v>658</v>
      </c>
      <c r="H62" s="35">
        <v>960</v>
      </c>
      <c r="I62" s="35">
        <v>567</v>
      </c>
      <c r="J62" s="35">
        <v>3</v>
      </c>
      <c r="K62" s="35">
        <v>2</v>
      </c>
      <c r="L62" s="35">
        <v>932</v>
      </c>
      <c r="M62" s="35">
        <v>766</v>
      </c>
      <c r="N62" s="35">
        <v>645</v>
      </c>
      <c r="O62" s="36">
        <v>817</v>
      </c>
    </row>
    <row r="63" spans="1:15" x14ac:dyDescent="0.25">
      <c r="A63" s="33">
        <v>12</v>
      </c>
      <c r="B63" s="34">
        <v>45363</v>
      </c>
      <c r="C63" s="35" t="s">
        <v>482</v>
      </c>
      <c r="D63" s="35" t="s">
        <v>12</v>
      </c>
      <c r="E63" s="35" t="s">
        <v>419</v>
      </c>
      <c r="F63" s="35">
        <v>67</v>
      </c>
      <c r="G63" s="35">
        <v>836</v>
      </c>
      <c r="H63" s="35">
        <v>167</v>
      </c>
      <c r="I63" s="35">
        <v>138</v>
      </c>
      <c r="J63" s="35">
        <v>904</v>
      </c>
      <c r="K63" s="35">
        <v>693</v>
      </c>
      <c r="L63" s="35">
        <v>809</v>
      </c>
      <c r="M63" s="35">
        <v>125</v>
      </c>
      <c r="N63" s="35">
        <v>397</v>
      </c>
      <c r="O63" s="36">
        <v>569</v>
      </c>
    </row>
    <row r="64" spans="1:15" x14ac:dyDescent="0.25">
      <c r="A64" s="33">
        <v>5</v>
      </c>
      <c r="B64" s="34">
        <v>45601</v>
      </c>
      <c r="C64" s="35" t="s">
        <v>483</v>
      </c>
      <c r="D64" s="35" t="s">
        <v>190</v>
      </c>
      <c r="E64" s="35" t="s">
        <v>588</v>
      </c>
      <c r="F64" s="35">
        <v>305</v>
      </c>
      <c r="G64" s="35">
        <v>306</v>
      </c>
      <c r="H64" s="35">
        <v>565</v>
      </c>
      <c r="I64" s="35">
        <v>954</v>
      </c>
      <c r="J64" s="35">
        <v>813</v>
      </c>
      <c r="K64" s="35">
        <v>165</v>
      </c>
      <c r="L64" s="35">
        <v>479</v>
      </c>
      <c r="M64" s="35">
        <v>757</v>
      </c>
      <c r="N64" s="35">
        <v>622</v>
      </c>
      <c r="O64" s="36">
        <v>803</v>
      </c>
    </row>
    <row r="65" spans="1:15" x14ac:dyDescent="0.25">
      <c r="A65" s="33">
        <v>11</v>
      </c>
      <c r="B65" s="34">
        <v>45423</v>
      </c>
      <c r="C65" s="35" t="s">
        <v>484</v>
      </c>
      <c r="D65" s="35" t="s">
        <v>15</v>
      </c>
      <c r="E65" s="35" t="s">
        <v>411</v>
      </c>
      <c r="F65" s="35">
        <v>207</v>
      </c>
      <c r="G65" s="35">
        <v>797</v>
      </c>
      <c r="H65" s="35">
        <v>330</v>
      </c>
      <c r="I65" s="35">
        <v>902</v>
      </c>
      <c r="J65" s="35">
        <v>995</v>
      </c>
      <c r="K65" s="35">
        <v>753</v>
      </c>
      <c r="L65" s="35">
        <v>246</v>
      </c>
      <c r="M65" s="35">
        <v>87</v>
      </c>
      <c r="N65" s="35">
        <v>653</v>
      </c>
      <c r="O65" s="36">
        <v>458</v>
      </c>
    </row>
    <row r="66" spans="1:15" x14ac:dyDescent="0.25">
      <c r="A66" s="33">
        <v>23</v>
      </c>
      <c r="B66" s="34">
        <v>45466</v>
      </c>
      <c r="C66" s="35" t="s">
        <v>485</v>
      </c>
      <c r="D66" s="35" t="s">
        <v>52</v>
      </c>
      <c r="E66" s="35" t="s">
        <v>411</v>
      </c>
      <c r="F66" s="35">
        <v>426</v>
      </c>
      <c r="G66" s="35">
        <v>175</v>
      </c>
      <c r="H66" s="35">
        <v>427</v>
      </c>
      <c r="I66" s="35">
        <v>994</v>
      </c>
      <c r="J66" s="35">
        <v>839</v>
      </c>
      <c r="K66" s="35">
        <v>495</v>
      </c>
      <c r="L66" s="35">
        <v>349</v>
      </c>
      <c r="M66" s="35">
        <v>512</v>
      </c>
      <c r="N66" s="35">
        <v>734</v>
      </c>
      <c r="O66" s="36">
        <v>734</v>
      </c>
    </row>
    <row r="67" spans="1:15" x14ac:dyDescent="0.25">
      <c r="A67" s="33">
        <v>5</v>
      </c>
      <c r="B67" s="34">
        <v>45448</v>
      </c>
      <c r="C67" s="35" t="s">
        <v>486</v>
      </c>
      <c r="D67" s="35" t="s">
        <v>12</v>
      </c>
      <c r="E67" s="35" t="s">
        <v>414</v>
      </c>
      <c r="F67" s="35">
        <v>915</v>
      </c>
      <c r="G67" s="35">
        <v>132</v>
      </c>
      <c r="H67" s="35">
        <v>260</v>
      </c>
      <c r="I67" s="35">
        <v>522</v>
      </c>
      <c r="J67" s="35">
        <v>492</v>
      </c>
      <c r="K67" s="35">
        <v>765</v>
      </c>
      <c r="L67" s="35">
        <v>737</v>
      </c>
      <c r="M67" s="35">
        <v>378</v>
      </c>
      <c r="N67" s="35">
        <v>894</v>
      </c>
      <c r="O67" s="36">
        <v>602</v>
      </c>
    </row>
    <row r="68" spans="1:15" x14ac:dyDescent="0.25">
      <c r="A68" s="33">
        <v>27</v>
      </c>
      <c r="B68" s="34">
        <v>45349</v>
      </c>
      <c r="C68" s="35" t="s">
        <v>487</v>
      </c>
      <c r="D68" s="35" t="s">
        <v>190</v>
      </c>
      <c r="E68" s="35" t="s">
        <v>413</v>
      </c>
      <c r="F68" s="35">
        <v>53</v>
      </c>
      <c r="G68" s="35">
        <v>102</v>
      </c>
      <c r="H68" s="35">
        <v>72</v>
      </c>
      <c r="I68" s="35">
        <v>818</v>
      </c>
      <c r="J68" s="35">
        <v>747</v>
      </c>
      <c r="K68" s="35">
        <v>726</v>
      </c>
      <c r="L68" s="35">
        <v>69</v>
      </c>
      <c r="M68" s="35">
        <v>328</v>
      </c>
      <c r="N68" s="35">
        <v>998</v>
      </c>
      <c r="O68" s="36">
        <v>818</v>
      </c>
    </row>
    <row r="69" spans="1:15" x14ac:dyDescent="0.25">
      <c r="A69" s="33">
        <v>22</v>
      </c>
      <c r="B69" s="34">
        <v>45465</v>
      </c>
      <c r="C69" s="35" t="s">
        <v>488</v>
      </c>
      <c r="D69" s="35" t="s">
        <v>587</v>
      </c>
      <c r="E69" s="35" t="s">
        <v>588</v>
      </c>
      <c r="F69" s="35">
        <v>473</v>
      </c>
      <c r="G69" s="35">
        <v>155</v>
      </c>
      <c r="H69" s="35">
        <v>118</v>
      </c>
      <c r="I69" s="35">
        <v>898</v>
      </c>
      <c r="J69" s="35">
        <v>760</v>
      </c>
      <c r="K69" s="35">
        <v>555</v>
      </c>
      <c r="L69" s="35">
        <v>43</v>
      </c>
      <c r="M69" s="35">
        <v>373</v>
      </c>
      <c r="N69" s="35">
        <v>184</v>
      </c>
      <c r="O69" s="36">
        <v>663</v>
      </c>
    </row>
    <row r="70" spans="1:15" x14ac:dyDescent="0.25">
      <c r="A70" s="33">
        <v>24</v>
      </c>
      <c r="B70" s="34">
        <v>45315</v>
      </c>
      <c r="C70" s="35" t="s">
        <v>489</v>
      </c>
      <c r="D70" s="35" t="s">
        <v>15</v>
      </c>
      <c r="E70" s="35" t="s">
        <v>411</v>
      </c>
      <c r="F70" s="35">
        <v>171</v>
      </c>
      <c r="G70" s="35">
        <v>519</v>
      </c>
      <c r="H70" s="35">
        <v>941</v>
      </c>
      <c r="I70" s="35">
        <v>232</v>
      </c>
      <c r="J70" s="35">
        <v>710</v>
      </c>
      <c r="K70" s="35">
        <v>844</v>
      </c>
      <c r="L70" s="35">
        <v>492</v>
      </c>
      <c r="M70" s="35">
        <v>408</v>
      </c>
      <c r="N70" s="35">
        <v>462</v>
      </c>
      <c r="O70" s="36">
        <v>312</v>
      </c>
    </row>
    <row r="71" spans="1:15" x14ac:dyDescent="0.25">
      <c r="A71" s="33">
        <v>12</v>
      </c>
      <c r="B71" s="34">
        <v>45424</v>
      </c>
      <c r="C71" s="35" t="s">
        <v>490</v>
      </c>
      <c r="D71" s="35" t="s">
        <v>12</v>
      </c>
      <c r="E71" s="35" t="s">
        <v>413</v>
      </c>
      <c r="F71" s="35">
        <v>106</v>
      </c>
      <c r="G71" s="35">
        <v>725</v>
      </c>
      <c r="H71" s="35">
        <v>990</v>
      </c>
      <c r="I71" s="35">
        <v>924</v>
      </c>
      <c r="J71" s="35">
        <v>864</v>
      </c>
      <c r="K71" s="35">
        <v>620</v>
      </c>
      <c r="L71" s="35">
        <v>918</v>
      </c>
      <c r="M71" s="35">
        <v>24</v>
      </c>
      <c r="N71" s="35">
        <v>64</v>
      </c>
      <c r="O71" s="36">
        <v>826</v>
      </c>
    </row>
    <row r="72" spans="1:15" x14ac:dyDescent="0.25">
      <c r="A72" s="33">
        <v>4</v>
      </c>
      <c r="B72" s="34">
        <v>45630</v>
      </c>
      <c r="C72" s="35" t="s">
        <v>491</v>
      </c>
      <c r="D72" s="35" t="s">
        <v>13</v>
      </c>
      <c r="E72" s="35" t="s">
        <v>411</v>
      </c>
      <c r="F72" s="35">
        <v>188</v>
      </c>
      <c r="G72" s="35">
        <v>43</v>
      </c>
      <c r="H72" s="35">
        <v>605</v>
      </c>
      <c r="I72" s="35">
        <v>687</v>
      </c>
      <c r="J72" s="35">
        <v>881</v>
      </c>
      <c r="K72" s="35">
        <v>541</v>
      </c>
      <c r="L72" s="35">
        <v>102</v>
      </c>
      <c r="M72" s="35">
        <v>744</v>
      </c>
      <c r="N72" s="35">
        <v>273</v>
      </c>
      <c r="O72" s="36">
        <v>126</v>
      </c>
    </row>
    <row r="73" spans="1:15" x14ac:dyDescent="0.25">
      <c r="A73" s="33">
        <v>2</v>
      </c>
      <c r="B73" s="34">
        <v>45537</v>
      </c>
      <c r="C73" s="35" t="s">
        <v>492</v>
      </c>
      <c r="D73" s="35" t="s">
        <v>13</v>
      </c>
      <c r="E73" s="35" t="s">
        <v>411</v>
      </c>
      <c r="F73" s="35">
        <v>17</v>
      </c>
      <c r="G73" s="35">
        <v>761</v>
      </c>
      <c r="H73" s="35">
        <v>994</v>
      </c>
      <c r="I73" s="35">
        <v>645</v>
      </c>
      <c r="J73" s="35">
        <v>297</v>
      </c>
      <c r="K73" s="35">
        <v>725</v>
      </c>
      <c r="L73" s="35">
        <v>247</v>
      </c>
      <c r="M73" s="35">
        <v>357</v>
      </c>
      <c r="N73" s="35">
        <v>699</v>
      </c>
      <c r="O73" s="36">
        <v>122</v>
      </c>
    </row>
    <row r="74" spans="1:15" x14ac:dyDescent="0.25">
      <c r="A74" s="33">
        <v>21</v>
      </c>
      <c r="B74" s="34">
        <v>45312</v>
      </c>
      <c r="C74" s="35" t="s">
        <v>493</v>
      </c>
      <c r="D74" s="35" t="s">
        <v>12</v>
      </c>
      <c r="E74" s="35" t="s">
        <v>414</v>
      </c>
      <c r="F74" s="35">
        <v>928</v>
      </c>
      <c r="G74" s="35">
        <v>311</v>
      </c>
      <c r="H74" s="35">
        <v>951</v>
      </c>
      <c r="I74" s="35">
        <v>603</v>
      </c>
      <c r="J74" s="35">
        <v>885</v>
      </c>
      <c r="K74" s="35">
        <v>777</v>
      </c>
      <c r="L74" s="35">
        <v>419</v>
      </c>
      <c r="M74" s="35">
        <v>820</v>
      </c>
      <c r="N74" s="35">
        <v>608</v>
      </c>
      <c r="O74" s="36">
        <v>884</v>
      </c>
    </row>
    <row r="75" spans="1:15" x14ac:dyDescent="0.25">
      <c r="A75" s="33">
        <v>17</v>
      </c>
      <c r="B75" s="34">
        <v>45552</v>
      </c>
      <c r="C75" s="35" t="s">
        <v>494</v>
      </c>
      <c r="D75" s="35" t="s">
        <v>190</v>
      </c>
      <c r="E75" s="35" t="s">
        <v>413</v>
      </c>
      <c r="F75" s="35">
        <v>814</v>
      </c>
      <c r="G75" s="35">
        <v>405</v>
      </c>
      <c r="H75" s="35">
        <v>289</v>
      </c>
      <c r="I75" s="35">
        <v>295</v>
      </c>
      <c r="J75" s="35">
        <v>740</v>
      </c>
      <c r="K75" s="35">
        <v>325</v>
      </c>
      <c r="L75" s="35">
        <v>764</v>
      </c>
      <c r="M75" s="35">
        <v>628</v>
      </c>
      <c r="N75" s="35">
        <v>379</v>
      </c>
      <c r="O75" s="36">
        <v>587</v>
      </c>
    </row>
    <row r="76" spans="1:15" x14ac:dyDescent="0.25">
      <c r="A76" s="33">
        <v>14</v>
      </c>
      <c r="B76" s="34">
        <v>45487</v>
      </c>
      <c r="C76" s="35" t="s">
        <v>495</v>
      </c>
      <c r="D76" s="35" t="s">
        <v>13</v>
      </c>
      <c r="E76" s="35" t="s">
        <v>411</v>
      </c>
      <c r="F76" s="35">
        <v>893</v>
      </c>
      <c r="G76" s="35">
        <v>283</v>
      </c>
      <c r="H76" s="35">
        <v>335</v>
      </c>
      <c r="I76" s="35">
        <v>170</v>
      </c>
      <c r="J76" s="35">
        <v>676</v>
      </c>
      <c r="K76" s="35">
        <v>776</v>
      </c>
      <c r="L76" s="35">
        <v>403</v>
      </c>
      <c r="M76" s="35">
        <v>605</v>
      </c>
      <c r="N76" s="35">
        <v>144</v>
      </c>
      <c r="O76" s="36">
        <v>36</v>
      </c>
    </row>
    <row r="77" spans="1:15" x14ac:dyDescent="0.25">
      <c r="A77" s="33">
        <v>22</v>
      </c>
      <c r="B77" s="34">
        <v>45587</v>
      </c>
      <c r="C77" s="35" t="s">
        <v>496</v>
      </c>
      <c r="D77" s="35" t="s">
        <v>587</v>
      </c>
      <c r="E77" s="35" t="s">
        <v>419</v>
      </c>
      <c r="F77" s="35">
        <v>821</v>
      </c>
      <c r="G77" s="35">
        <v>461</v>
      </c>
      <c r="H77" s="35">
        <v>481</v>
      </c>
      <c r="I77" s="35">
        <v>502</v>
      </c>
      <c r="J77" s="35">
        <v>753</v>
      </c>
      <c r="K77" s="35">
        <v>993</v>
      </c>
      <c r="L77" s="35">
        <v>380</v>
      </c>
      <c r="M77" s="35">
        <v>115</v>
      </c>
      <c r="N77" s="35">
        <v>606</v>
      </c>
      <c r="O77" s="36">
        <v>604</v>
      </c>
    </row>
    <row r="78" spans="1:15" x14ac:dyDescent="0.25">
      <c r="A78" s="33">
        <v>13</v>
      </c>
      <c r="B78" s="34">
        <v>45486</v>
      </c>
      <c r="C78" s="35" t="s">
        <v>497</v>
      </c>
      <c r="D78" s="35" t="s">
        <v>15</v>
      </c>
      <c r="E78" s="35" t="s">
        <v>588</v>
      </c>
      <c r="F78" s="35">
        <v>88</v>
      </c>
      <c r="G78" s="35">
        <v>965</v>
      </c>
      <c r="H78" s="35">
        <v>174</v>
      </c>
      <c r="I78" s="35">
        <v>181</v>
      </c>
      <c r="J78" s="35">
        <v>959</v>
      </c>
      <c r="K78" s="35">
        <v>134</v>
      </c>
      <c r="L78" s="35">
        <v>205</v>
      </c>
      <c r="M78" s="35">
        <v>494</v>
      </c>
      <c r="N78" s="35">
        <v>190</v>
      </c>
      <c r="O78" s="36">
        <v>774</v>
      </c>
    </row>
    <row r="79" spans="1:15" x14ac:dyDescent="0.25">
      <c r="A79" s="33">
        <v>16</v>
      </c>
      <c r="B79" s="34">
        <v>45398</v>
      </c>
      <c r="C79" s="35" t="s">
        <v>498</v>
      </c>
      <c r="D79" s="35" t="s">
        <v>12</v>
      </c>
      <c r="E79" s="35" t="s">
        <v>414</v>
      </c>
      <c r="F79" s="35">
        <v>886</v>
      </c>
      <c r="G79" s="35">
        <v>715</v>
      </c>
      <c r="H79" s="35">
        <v>730</v>
      </c>
      <c r="I79" s="35">
        <v>34</v>
      </c>
      <c r="J79" s="35">
        <v>766</v>
      </c>
      <c r="K79" s="35">
        <v>141</v>
      </c>
      <c r="L79" s="35">
        <v>368</v>
      </c>
      <c r="M79" s="35">
        <v>857</v>
      </c>
      <c r="N79" s="35">
        <v>180</v>
      </c>
      <c r="O79" s="36">
        <v>628</v>
      </c>
    </row>
    <row r="80" spans="1:15" x14ac:dyDescent="0.25">
      <c r="A80" s="33">
        <v>12</v>
      </c>
      <c r="B80" s="34">
        <v>45485</v>
      </c>
      <c r="C80" s="35" t="s">
        <v>499</v>
      </c>
      <c r="D80" s="35" t="s">
        <v>13</v>
      </c>
      <c r="E80" s="35" t="s">
        <v>413</v>
      </c>
      <c r="F80" s="35">
        <v>644</v>
      </c>
      <c r="G80" s="35">
        <v>759</v>
      </c>
      <c r="H80" s="35">
        <v>512</v>
      </c>
      <c r="I80" s="35">
        <v>488</v>
      </c>
      <c r="J80" s="35">
        <v>576</v>
      </c>
      <c r="K80" s="35">
        <v>397</v>
      </c>
      <c r="L80" s="35">
        <v>839</v>
      </c>
      <c r="M80" s="35">
        <v>26</v>
      </c>
      <c r="N80" s="35">
        <v>821</v>
      </c>
      <c r="O80" s="36">
        <v>420</v>
      </c>
    </row>
    <row r="81" spans="1:15" x14ac:dyDescent="0.25">
      <c r="A81" s="33">
        <v>18</v>
      </c>
      <c r="B81" s="34">
        <v>45461</v>
      </c>
      <c r="C81" s="35" t="s">
        <v>500</v>
      </c>
      <c r="D81" s="35" t="s">
        <v>52</v>
      </c>
      <c r="E81" s="35" t="s">
        <v>411</v>
      </c>
      <c r="F81" s="35">
        <v>607</v>
      </c>
      <c r="G81" s="35">
        <v>72</v>
      </c>
      <c r="H81" s="35">
        <v>77</v>
      </c>
      <c r="I81" s="35">
        <v>845</v>
      </c>
      <c r="J81" s="35">
        <v>310</v>
      </c>
      <c r="K81" s="35">
        <v>355</v>
      </c>
      <c r="L81" s="35">
        <v>653</v>
      </c>
      <c r="M81" s="35">
        <v>220</v>
      </c>
      <c r="N81" s="35">
        <v>223</v>
      </c>
      <c r="O81" s="36">
        <v>514</v>
      </c>
    </row>
    <row r="82" spans="1:15" x14ac:dyDescent="0.25">
      <c r="A82" s="33">
        <v>22</v>
      </c>
      <c r="B82" s="34">
        <v>45313</v>
      </c>
      <c r="C82" s="35" t="s">
        <v>501</v>
      </c>
      <c r="D82" s="35" t="s">
        <v>12</v>
      </c>
      <c r="E82" s="35" t="s">
        <v>413</v>
      </c>
      <c r="F82" s="35">
        <v>140</v>
      </c>
      <c r="G82" s="35">
        <v>447</v>
      </c>
      <c r="H82" s="35">
        <v>458</v>
      </c>
      <c r="I82" s="35">
        <v>992</v>
      </c>
      <c r="J82" s="35">
        <v>717</v>
      </c>
      <c r="K82" s="35">
        <v>682</v>
      </c>
      <c r="L82" s="35">
        <v>863</v>
      </c>
      <c r="M82" s="35">
        <v>195</v>
      </c>
      <c r="N82" s="35">
        <v>339</v>
      </c>
      <c r="O82" s="36">
        <v>659</v>
      </c>
    </row>
    <row r="83" spans="1:15" x14ac:dyDescent="0.25">
      <c r="A83" s="33">
        <v>12</v>
      </c>
      <c r="B83" s="34">
        <v>45638</v>
      </c>
      <c r="C83" s="35" t="s">
        <v>502</v>
      </c>
      <c r="D83" s="35" t="s">
        <v>12</v>
      </c>
      <c r="E83" s="35" t="s">
        <v>588</v>
      </c>
      <c r="F83" s="35">
        <v>984</v>
      </c>
      <c r="G83" s="35">
        <v>998</v>
      </c>
      <c r="H83" s="35">
        <v>554</v>
      </c>
      <c r="I83" s="35">
        <v>522</v>
      </c>
      <c r="J83" s="35">
        <v>268</v>
      </c>
      <c r="K83" s="35">
        <v>65</v>
      </c>
      <c r="L83" s="35">
        <v>679</v>
      </c>
      <c r="M83" s="35">
        <v>560</v>
      </c>
      <c r="N83" s="35">
        <v>517</v>
      </c>
      <c r="O83" s="36">
        <v>376</v>
      </c>
    </row>
    <row r="84" spans="1:15" x14ac:dyDescent="0.25">
      <c r="A84" s="33">
        <v>22</v>
      </c>
      <c r="B84" s="34">
        <v>45557</v>
      </c>
      <c r="C84" s="35" t="s">
        <v>503</v>
      </c>
      <c r="D84" s="35" t="s">
        <v>587</v>
      </c>
      <c r="E84" s="35" t="s">
        <v>413</v>
      </c>
      <c r="F84" s="35">
        <v>976</v>
      </c>
      <c r="G84" s="35">
        <v>55</v>
      </c>
      <c r="H84" s="35">
        <v>816</v>
      </c>
      <c r="I84" s="35">
        <v>380</v>
      </c>
      <c r="J84" s="35">
        <v>496</v>
      </c>
      <c r="K84" s="35">
        <v>324</v>
      </c>
      <c r="L84" s="35">
        <v>287</v>
      </c>
      <c r="M84" s="35">
        <v>653</v>
      </c>
      <c r="N84" s="35">
        <v>344</v>
      </c>
      <c r="O84" s="36">
        <v>729</v>
      </c>
    </row>
    <row r="85" spans="1:15" x14ac:dyDescent="0.25">
      <c r="A85" s="33">
        <v>19</v>
      </c>
      <c r="B85" s="34">
        <v>45462</v>
      </c>
      <c r="C85" s="35" t="s">
        <v>504</v>
      </c>
      <c r="D85" s="35" t="s">
        <v>587</v>
      </c>
      <c r="E85" s="35" t="s">
        <v>411</v>
      </c>
      <c r="F85" s="35">
        <v>597</v>
      </c>
      <c r="G85" s="35">
        <v>611</v>
      </c>
      <c r="H85" s="35">
        <v>74</v>
      </c>
      <c r="I85" s="35">
        <v>708</v>
      </c>
      <c r="J85" s="35">
        <v>425</v>
      </c>
      <c r="K85" s="35">
        <v>426</v>
      </c>
      <c r="L85" s="35">
        <v>257</v>
      </c>
      <c r="M85" s="35">
        <v>747</v>
      </c>
      <c r="N85" s="35">
        <v>20</v>
      </c>
      <c r="O85" s="36">
        <v>346</v>
      </c>
    </row>
    <row r="86" spans="1:15" x14ac:dyDescent="0.25">
      <c r="A86" s="33">
        <v>1</v>
      </c>
      <c r="B86" s="34">
        <v>45597</v>
      </c>
      <c r="C86" s="35" t="s">
        <v>505</v>
      </c>
      <c r="D86" s="35" t="s">
        <v>13</v>
      </c>
      <c r="E86" s="35" t="s">
        <v>193</v>
      </c>
      <c r="F86" s="35">
        <v>232</v>
      </c>
      <c r="G86" s="35">
        <v>105</v>
      </c>
      <c r="H86" s="35">
        <v>781</v>
      </c>
      <c r="I86" s="35">
        <v>406</v>
      </c>
      <c r="J86" s="35">
        <v>539</v>
      </c>
      <c r="K86" s="35">
        <v>688</v>
      </c>
      <c r="L86" s="35">
        <v>186</v>
      </c>
      <c r="M86" s="35">
        <v>747</v>
      </c>
      <c r="N86" s="35">
        <v>479</v>
      </c>
      <c r="O86" s="36">
        <v>407</v>
      </c>
    </row>
    <row r="87" spans="1:15" x14ac:dyDescent="0.25">
      <c r="A87" s="33">
        <v>3</v>
      </c>
      <c r="B87" s="34">
        <v>45415</v>
      </c>
      <c r="C87" s="35" t="s">
        <v>506</v>
      </c>
      <c r="D87" s="35" t="s">
        <v>13</v>
      </c>
      <c r="E87" s="35" t="s">
        <v>419</v>
      </c>
      <c r="F87" s="35">
        <v>457</v>
      </c>
      <c r="G87" s="35">
        <v>679</v>
      </c>
      <c r="H87" s="35">
        <v>203</v>
      </c>
      <c r="I87" s="35">
        <v>611</v>
      </c>
      <c r="J87" s="35">
        <v>129</v>
      </c>
      <c r="K87" s="35">
        <v>902</v>
      </c>
      <c r="L87" s="35">
        <v>613</v>
      </c>
      <c r="M87" s="35">
        <v>751</v>
      </c>
      <c r="N87" s="35">
        <v>304</v>
      </c>
      <c r="O87" s="36">
        <v>681</v>
      </c>
    </row>
    <row r="88" spans="1:15" x14ac:dyDescent="0.25">
      <c r="A88" s="33">
        <v>9</v>
      </c>
      <c r="B88" s="34">
        <v>45574</v>
      </c>
      <c r="C88" s="35" t="s">
        <v>507</v>
      </c>
      <c r="D88" s="35" t="s">
        <v>52</v>
      </c>
      <c r="E88" s="35" t="s">
        <v>419</v>
      </c>
      <c r="F88" s="35">
        <v>969</v>
      </c>
      <c r="G88" s="35">
        <v>777</v>
      </c>
      <c r="H88" s="35">
        <v>804</v>
      </c>
      <c r="I88" s="35">
        <v>486</v>
      </c>
      <c r="J88" s="35">
        <v>888</v>
      </c>
      <c r="K88" s="35">
        <v>378</v>
      </c>
      <c r="L88" s="35">
        <v>822</v>
      </c>
      <c r="M88" s="35">
        <v>532</v>
      </c>
      <c r="N88" s="35">
        <v>912</v>
      </c>
      <c r="O88" s="36">
        <v>712</v>
      </c>
    </row>
    <row r="89" spans="1:15" x14ac:dyDescent="0.25">
      <c r="A89" s="33">
        <v>30</v>
      </c>
      <c r="B89" s="34">
        <v>45503</v>
      </c>
      <c r="C89" s="35" t="s">
        <v>508</v>
      </c>
      <c r="D89" s="35" t="s">
        <v>190</v>
      </c>
      <c r="E89" s="35" t="s">
        <v>411</v>
      </c>
      <c r="F89" s="35">
        <v>935</v>
      </c>
      <c r="G89" s="35">
        <v>387</v>
      </c>
      <c r="H89" s="35">
        <v>869</v>
      </c>
      <c r="I89" s="35">
        <v>366</v>
      </c>
      <c r="J89" s="35">
        <v>128</v>
      </c>
      <c r="K89" s="35">
        <v>650</v>
      </c>
      <c r="L89" s="35">
        <v>507</v>
      </c>
      <c r="M89" s="35">
        <v>745</v>
      </c>
      <c r="N89" s="35">
        <v>904</v>
      </c>
      <c r="O89" s="36">
        <v>244</v>
      </c>
    </row>
    <row r="90" spans="1:15" x14ac:dyDescent="0.25">
      <c r="A90" s="33">
        <v>20</v>
      </c>
      <c r="B90" s="34">
        <v>45371</v>
      </c>
      <c r="C90" s="35" t="s">
        <v>509</v>
      </c>
      <c r="D90" s="35" t="s">
        <v>15</v>
      </c>
      <c r="E90" s="35" t="s">
        <v>419</v>
      </c>
      <c r="F90" s="35">
        <v>32</v>
      </c>
      <c r="G90" s="35">
        <v>245</v>
      </c>
      <c r="H90" s="35">
        <v>395</v>
      </c>
      <c r="I90" s="35">
        <v>626</v>
      </c>
      <c r="J90" s="35">
        <v>889</v>
      </c>
      <c r="K90" s="35">
        <v>673</v>
      </c>
      <c r="L90" s="35">
        <v>883</v>
      </c>
      <c r="M90" s="35">
        <v>824</v>
      </c>
      <c r="N90" s="35">
        <v>527</v>
      </c>
      <c r="O90" s="36">
        <v>403</v>
      </c>
    </row>
    <row r="91" spans="1:15" x14ac:dyDescent="0.25">
      <c r="A91" s="33">
        <v>21</v>
      </c>
      <c r="B91" s="34">
        <v>45556</v>
      </c>
      <c r="C91" s="35" t="s">
        <v>510</v>
      </c>
      <c r="D91" s="35" t="s">
        <v>52</v>
      </c>
      <c r="E91" s="35" t="s">
        <v>419</v>
      </c>
      <c r="F91" s="35">
        <v>555</v>
      </c>
      <c r="G91" s="35">
        <v>886</v>
      </c>
      <c r="H91" s="35">
        <v>586</v>
      </c>
      <c r="I91" s="35">
        <v>956</v>
      </c>
      <c r="J91" s="35">
        <v>489</v>
      </c>
      <c r="K91" s="35">
        <v>435</v>
      </c>
      <c r="L91" s="35">
        <v>360</v>
      </c>
      <c r="M91" s="35">
        <v>412</v>
      </c>
      <c r="N91" s="35">
        <v>535</v>
      </c>
      <c r="O91" s="36">
        <v>957</v>
      </c>
    </row>
    <row r="92" spans="1:15" x14ac:dyDescent="0.25">
      <c r="A92" s="33">
        <v>16</v>
      </c>
      <c r="B92" s="34">
        <v>45642</v>
      </c>
      <c r="C92" s="35" t="s">
        <v>511</v>
      </c>
      <c r="D92" s="35" t="s">
        <v>587</v>
      </c>
      <c r="E92" s="35" t="s">
        <v>588</v>
      </c>
      <c r="F92" s="35">
        <v>272</v>
      </c>
      <c r="G92" s="35">
        <v>65</v>
      </c>
      <c r="H92" s="35">
        <v>578</v>
      </c>
      <c r="I92" s="35">
        <v>492</v>
      </c>
      <c r="J92" s="35">
        <v>227</v>
      </c>
      <c r="K92" s="35">
        <v>459</v>
      </c>
      <c r="L92" s="35">
        <v>977</v>
      </c>
      <c r="M92" s="35">
        <v>719</v>
      </c>
      <c r="N92" s="35">
        <v>260</v>
      </c>
      <c r="O92" s="36">
        <v>363</v>
      </c>
    </row>
    <row r="93" spans="1:15" x14ac:dyDescent="0.25">
      <c r="A93" s="33">
        <v>12</v>
      </c>
      <c r="B93" s="34">
        <v>45516</v>
      </c>
      <c r="C93" s="35" t="s">
        <v>512</v>
      </c>
      <c r="D93" s="35" t="s">
        <v>587</v>
      </c>
      <c r="E93" s="35" t="s">
        <v>414</v>
      </c>
      <c r="F93" s="35">
        <v>418</v>
      </c>
      <c r="G93" s="35">
        <v>763</v>
      </c>
      <c r="H93" s="35">
        <v>467</v>
      </c>
      <c r="I93" s="35">
        <v>723</v>
      </c>
      <c r="J93" s="35">
        <v>783</v>
      </c>
      <c r="K93" s="35">
        <v>146</v>
      </c>
      <c r="L93" s="35">
        <v>996</v>
      </c>
      <c r="M93" s="35">
        <v>291</v>
      </c>
      <c r="N93" s="35">
        <v>945</v>
      </c>
      <c r="O93" s="36">
        <v>115</v>
      </c>
    </row>
    <row r="94" spans="1:15" x14ac:dyDescent="0.25">
      <c r="A94" s="33">
        <v>4</v>
      </c>
      <c r="B94" s="34">
        <v>45355</v>
      </c>
      <c r="C94" s="35" t="s">
        <v>513</v>
      </c>
      <c r="D94" s="35" t="s">
        <v>52</v>
      </c>
      <c r="E94" s="35" t="s">
        <v>411</v>
      </c>
      <c r="F94" s="35">
        <v>134</v>
      </c>
      <c r="G94" s="35">
        <v>60</v>
      </c>
      <c r="H94" s="35">
        <v>840</v>
      </c>
      <c r="I94" s="35">
        <v>940</v>
      </c>
      <c r="J94" s="35">
        <v>56</v>
      </c>
      <c r="K94" s="35">
        <v>513</v>
      </c>
      <c r="L94" s="35">
        <v>184</v>
      </c>
      <c r="M94" s="35">
        <v>344</v>
      </c>
      <c r="N94" s="35">
        <v>732</v>
      </c>
      <c r="O94" s="36">
        <v>551</v>
      </c>
    </row>
    <row r="95" spans="1:15" x14ac:dyDescent="0.25">
      <c r="A95" s="33">
        <v>3</v>
      </c>
      <c r="B95" s="34">
        <v>45538</v>
      </c>
      <c r="C95" s="35" t="s">
        <v>514</v>
      </c>
      <c r="D95" s="35" t="s">
        <v>12</v>
      </c>
      <c r="E95" s="35" t="s">
        <v>419</v>
      </c>
      <c r="F95" s="35">
        <v>831</v>
      </c>
      <c r="G95" s="35">
        <v>337</v>
      </c>
      <c r="H95" s="35">
        <v>619</v>
      </c>
      <c r="I95" s="35">
        <v>595</v>
      </c>
      <c r="J95" s="35">
        <v>343</v>
      </c>
      <c r="K95" s="35">
        <v>75</v>
      </c>
      <c r="L95" s="35">
        <v>729</v>
      </c>
      <c r="M95" s="35">
        <v>75</v>
      </c>
      <c r="N95" s="35">
        <v>948</v>
      </c>
      <c r="O95" s="36">
        <v>461</v>
      </c>
    </row>
    <row r="96" spans="1:15" x14ac:dyDescent="0.25">
      <c r="A96" s="33">
        <v>16</v>
      </c>
      <c r="B96" s="34">
        <v>45428</v>
      </c>
      <c r="C96" s="35" t="s">
        <v>515</v>
      </c>
      <c r="D96" s="35" t="s">
        <v>587</v>
      </c>
      <c r="E96" s="35" t="s">
        <v>193</v>
      </c>
      <c r="F96" s="35">
        <v>993</v>
      </c>
      <c r="G96" s="35">
        <v>856</v>
      </c>
      <c r="H96" s="35">
        <v>246</v>
      </c>
      <c r="I96" s="35">
        <v>996</v>
      </c>
      <c r="J96" s="35">
        <v>217</v>
      </c>
      <c r="K96" s="35">
        <v>940</v>
      </c>
      <c r="L96" s="35">
        <v>994</v>
      </c>
      <c r="M96" s="35">
        <v>958</v>
      </c>
      <c r="N96" s="35">
        <v>697</v>
      </c>
      <c r="O96" s="36">
        <v>117</v>
      </c>
    </row>
    <row r="97" spans="1:15" x14ac:dyDescent="0.25">
      <c r="A97" s="33">
        <v>14</v>
      </c>
      <c r="B97" s="34">
        <v>45518</v>
      </c>
      <c r="C97" s="35" t="s">
        <v>516</v>
      </c>
      <c r="D97" s="35" t="s">
        <v>13</v>
      </c>
      <c r="E97" s="35" t="s">
        <v>193</v>
      </c>
      <c r="F97" s="35">
        <v>434</v>
      </c>
      <c r="G97" s="35">
        <v>915</v>
      </c>
      <c r="H97" s="35">
        <v>437</v>
      </c>
      <c r="I97" s="35">
        <v>728</v>
      </c>
      <c r="J97" s="35">
        <v>580</v>
      </c>
      <c r="K97" s="35">
        <v>953</v>
      </c>
      <c r="L97" s="35">
        <v>53</v>
      </c>
      <c r="M97" s="35">
        <v>815</v>
      </c>
      <c r="N97" s="35">
        <v>743</v>
      </c>
      <c r="O97" s="36">
        <v>944</v>
      </c>
    </row>
    <row r="98" spans="1:15" x14ac:dyDescent="0.25">
      <c r="A98" s="33">
        <v>8</v>
      </c>
      <c r="B98" s="34">
        <v>45481</v>
      </c>
      <c r="C98" s="35" t="s">
        <v>517</v>
      </c>
      <c r="D98" s="35" t="s">
        <v>190</v>
      </c>
      <c r="E98" s="35" t="s">
        <v>411</v>
      </c>
      <c r="F98" s="35">
        <v>276</v>
      </c>
      <c r="G98" s="35">
        <v>555</v>
      </c>
      <c r="H98" s="35">
        <v>294</v>
      </c>
      <c r="I98" s="35">
        <v>65</v>
      </c>
      <c r="J98" s="35">
        <v>416</v>
      </c>
      <c r="K98" s="35">
        <v>496</v>
      </c>
      <c r="L98" s="35">
        <v>384</v>
      </c>
      <c r="M98" s="35">
        <v>841</v>
      </c>
      <c r="N98" s="35">
        <v>995</v>
      </c>
      <c r="O98" s="36">
        <v>835</v>
      </c>
    </row>
    <row r="99" spans="1:15" x14ac:dyDescent="0.25">
      <c r="A99" s="33">
        <v>17</v>
      </c>
      <c r="B99" s="34">
        <v>45582</v>
      </c>
      <c r="C99" s="35" t="s">
        <v>518</v>
      </c>
      <c r="D99" s="35" t="s">
        <v>52</v>
      </c>
      <c r="E99" s="35" t="s">
        <v>411</v>
      </c>
      <c r="F99" s="35">
        <v>702</v>
      </c>
      <c r="G99" s="35">
        <v>420</v>
      </c>
      <c r="H99" s="35">
        <v>133</v>
      </c>
      <c r="I99" s="35">
        <v>13</v>
      </c>
      <c r="J99" s="35">
        <v>290</v>
      </c>
      <c r="K99" s="35">
        <v>394</v>
      </c>
      <c r="L99" s="35">
        <v>980</v>
      </c>
      <c r="M99" s="35">
        <v>406</v>
      </c>
      <c r="N99" s="35">
        <v>327</v>
      </c>
      <c r="O99" s="36">
        <v>687</v>
      </c>
    </row>
    <row r="100" spans="1:15" x14ac:dyDescent="0.25">
      <c r="A100" s="33">
        <v>5</v>
      </c>
      <c r="B100" s="34">
        <v>45327</v>
      </c>
      <c r="C100" s="35" t="s">
        <v>519</v>
      </c>
      <c r="D100" s="35" t="s">
        <v>13</v>
      </c>
      <c r="E100" s="35" t="s">
        <v>588</v>
      </c>
      <c r="F100" s="35">
        <v>882</v>
      </c>
      <c r="G100" s="35">
        <v>41</v>
      </c>
      <c r="H100" s="35">
        <v>385</v>
      </c>
      <c r="I100" s="35">
        <v>702</v>
      </c>
      <c r="J100" s="35">
        <v>226</v>
      </c>
      <c r="K100" s="35">
        <v>730</v>
      </c>
      <c r="L100" s="35">
        <v>596</v>
      </c>
      <c r="M100" s="35">
        <v>102</v>
      </c>
      <c r="N100" s="35">
        <v>924</v>
      </c>
      <c r="O100" s="36">
        <v>182</v>
      </c>
    </row>
    <row r="101" spans="1:15" x14ac:dyDescent="0.25">
      <c r="A101" s="33">
        <v>8</v>
      </c>
      <c r="B101" s="34">
        <v>45359</v>
      </c>
      <c r="C101" s="35" t="s">
        <v>520</v>
      </c>
      <c r="D101" s="35" t="s">
        <v>190</v>
      </c>
      <c r="E101" s="35" t="s">
        <v>413</v>
      </c>
      <c r="F101" s="35">
        <v>810</v>
      </c>
      <c r="G101" s="35">
        <v>793</v>
      </c>
      <c r="H101" s="35">
        <v>456</v>
      </c>
      <c r="I101" s="35">
        <v>594</v>
      </c>
      <c r="J101" s="35">
        <v>226</v>
      </c>
      <c r="K101" s="35">
        <v>217</v>
      </c>
      <c r="L101" s="35">
        <v>919</v>
      </c>
      <c r="M101" s="35">
        <v>489</v>
      </c>
      <c r="N101" s="35">
        <v>726</v>
      </c>
      <c r="O101" s="36">
        <v>690</v>
      </c>
    </row>
    <row r="102" spans="1:15" x14ac:dyDescent="0.25">
      <c r="A102" s="33">
        <v>9</v>
      </c>
      <c r="B102" s="34">
        <v>45421</v>
      </c>
      <c r="C102" s="35" t="s">
        <v>521</v>
      </c>
      <c r="D102" s="35" t="s">
        <v>52</v>
      </c>
      <c r="E102" s="35" t="s">
        <v>419</v>
      </c>
      <c r="F102" s="35">
        <v>936</v>
      </c>
      <c r="G102" s="35">
        <v>163</v>
      </c>
      <c r="H102" s="35">
        <v>909</v>
      </c>
      <c r="I102" s="35">
        <v>816</v>
      </c>
      <c r="J102" s="35">
        <v>619</v>
      </c>
      <c r="K102" s="35">
        <v>909</v>
      </c>
      <c r="L102" s="35">
        <v>962</v>
      </c>
      <c r="M102" s="35">
        <v>451</v>
      </c>
      <c r="N102" s="35">
        <v>708</v>
      </c>
      <c r="O102" s="36">
        <v>131</v>
      </c>
    </row>
    <row r="103" spans="1:15" x14ac:dyDescent="0.25">
      <c r="A103" s="33">
        <v>9</v>
      </c>
      <c r="B103" s="34">
        <v>45421</v>
      </c>
      <c r="C103" s="35" t="s">
        <v>522</v>
      </c>
      <c r="D103" s="35" t="s">
        <v>52</v>
      </c>
      <c r="E103" s="35" t="s">
        <v>419</v>
      </c>
      <c r="F103" s="35">
        <v>363</v>
      </c>
      <c r="G103" s="35">
        <v>86</v>
      </c>
      <c r="H103" s="35">
        <v>620</v>
      </c>
      <c r="I103" s="35">
        <v>50</v>
      </c>
      <c r="J103" s="35">
        <v>943</v>
      </c>
      <c r="K103" s="35">
        <v>775</v>
      </c>
      <c r="L103" s="35">
        <v>330</v>
      </c>
      <c r="M103" s="35">
        <v>324</v>
      </c>
      <c r="N103" s="35">
        <v>984</v>
      </c>
      <c r="O103" s="36">
        <v>897</v>
      </c>
    </row>
    <row r="104" spans="1:15" x14ac:dyDescent="0.25">
      <c r="A104" s="33">
        <v>3</v>
      </c>
      <c r="B104" s="34">
        <v>45446</v>
      </c>
      <c r="C104" s="35" t="s">
        <v>523</v>
      </c>
      <c r="D104" s="35" t="s">
        <v>15</v>
      </c>
      <c r="E104" s="35" t="s">
        <v>193</v>
      </c>
      <c r="F104" s="35">
        <v>453</v>
      </c>
      <c r="G104" s="35">
        <v>802</v>
      </c>
      <c r="H104" s="35">
        <v>658</v>
      </c>
      <c r="I104" s="35">
        <v>527</v>
      </c>
      <c r="J104" s="35">
        <v>36</v>
      </c>
      <c r="K104" s="35">
        <v>441</v>
      </c>
      <c r="L104" s="35">
        <v>159</v>
      </c>
      <c r="M104" s="35">
        <v>619</v>
      </c>
      <c r="N104" s="35">
        <v>225</v>
      </c>
      <c r="O104" s="36">
        <v>326</v>
      </c>
    </row>
    <row r="105" spans="1:15" x14ac:dyDescent="0.25">
      <c r="A105" s="33">
        <v>15</v>
      </c>
      <c r="B105" s="34">
        <v>45397</v>
      </c>
      <c r="C105" s="35" t="s">
        <v>524</v>
      </c>
      <c r="D105" s="35" t="s">
        <v>52</v>
      </c>
      <c r="E105" s="35" t="s">
        <v>419</v>
      </c>
      <c r="F105" s="35">
        <v>506</v>
      </c>
      <c r="G105" s="35">
        <v>488</v>
      </c>
      <c r="H105" s="35">
        <v>857</v>
      </c>
      <c r="I105" s="35">
        <v>153</v>
      </c>
      <c r="J105" s="35">
        <v>482</v>
      </c>
      <c r="K105" s="35">
        <v>675</v>
      </c>
      <c r="L105" s="35">
        <v>630</v>
      </c>
      <c r="M105" s="35">
        <v>466</v>
      </c>
      <c r="N105" s="35">
        <v>834</v>
      </c>
      <c r="O105" s="36">
        <v>580</v>
      </c>
    </row>
    <row r="106" spans="1:15" x14ac:dyDescent="0.25">
      <c r="A106" s="33">
        <v>13</v>
      </c>
      <c r="B106" s="34">
        <v>45395</v>
      </c>
      <c r="C106" s="35" t="s">
        <v>525</v>
      </c>
      <c r="D106" s="35" t="s">
        <v>15</v>
      </c>
      <c r="E106" s="35" t="s">
        <v>419</v>
      </c>
      <c r="F106" s="35">
        <v>218</v>
      </c>
      <c r="G106" s="35">
        <v>723</v>
      </c>
      <c r="H106" s="35">
        <v>457</v>
      </c>
      <c r="I106" s="35">
        <v>370</v>
      </c>
      <c r="J106" s="35">
        <v>389</v>
      </c>
      <c r="K106" s="35">
        <v>544</v>
      </c>
      <c r="L106" s="35">
        <v>815</v>
      </c>
      <c r="M106" s="35">
        <v>574</v>
      </c>
      <c r="N106" s="35">
        <v>892</v>
      </c>
      <c r="O106" s="36">
        <v>903</v>
      </c>
    </row>
    <row r="107" spans="1:15" x14ac:dyDescent="0.25">
      <c r="A107" s="33">
        <v>15</v>
      </c>
      <c r="B107" s="34">
        <v>45580</v>
      </c>
      <c r="C107" s="35" t="s">
        <v>526</v>
      </c>
      <c r="D107" s="35" t="s">
        <v>52</v>
      </c>
      <c r="E107" s="35" t="s">
        <v>588</v>
      </c>
      <c r="F107" s="35">
        <v>555</v>
      </c>
      <c r="G107" s="35">
        <v>118</v>
      </c>
      <c r="H107" s="35">
        <v>313</v>
      </c>
      <c r="I107" s="35">
        <v>70</v>
      </c>
      <c r="J107" s="35">
        <v>905</v>
      </c>
      <c r="K107" s="35">
        <v>447</v>
      </c>
      <c r="L107" s="35">
        <v>938</v>
      </c>
      <c r="M107" s="35">
        <v>96</v>
      </c>
      <c r="N107" s="35">
        <v>277</v>
      </c>
      <c r="O107" s="36">
        <v>611</v>
      </c>
    </row>
    <row r="108" spans="1:15" x14ac:dyDescent="0.25">
      <c r="A108" s="33">
        <v>16</v>
      </c>
      <c r="B108" s="34">
        <v>45338</v>
      </c>
      <c r="C108" s="35" t="s">
        <v>527</v>
      </c>
      <c r="D108" s="35" t="s">
        <v>587</v>
      </c>
      <c r="E108" s="35" t="s">
        <v>588</v>
      </c>
      <c r="F108" s="35">
        <v>271</v>
      </c>
      <c r="G108" s="35">
        <v>160</v>
      </c>
      <c r="H108" s="35">
        <v>450</v>
      </c>
      <c r="I108" s="35">
        <v>336</v>
      </c>
      <c r="J108" s="35">
        <v>415</v>
      </c>
      <c r="K108" s="35">
        <v>223</v>
      </c>
      <c r="L108" s="35">
        <v>901</v>
      </c>
      <c r="M108" s="35">
        <v>439</v>
      </c>
      <c r="N108" s="35">
        <v>118</v>
      </c>
      <c r="O108" s="36">
        <v>643</v>
      </c>
    </row>
    <row r="109" spans="1:15" x14ac:dyDescent="0.25">
      <c r="A109" s="33">
        <v>9</v>
      </c>
      <c r="B109" s="34">
        <v>45635</v>
      </c>
      <c r="C109" s="35" t="s">
        <v>528</v>
      </c>
      <c r="D109" s="35" t="s">
        <v>587</v>
      </c>
      <c r="E109" s="35" t="s">
        <v>419</v>
      </c>
      <c r="F109" s="35">
        <v>710</v>
      </c>
      <c r="G109" s="35">
        <v>85</v>
      </c>
      <c r="H109" s="35">
        <v>45</v>
      </c>
      <c r="I109" s="35">
        <v>580</v>
      </c>
      <c r="J109" s="35">
        <v>47</v>
      </c>
      <c r="K109" s="35">
        <v>247</v>
      </c>
      <c r="L109" s="35">
        <v>548</v>
      </c>
      <c r="M109" s="35">
        <v>229</v>
      </c>
      <c r="N109" s="35">
        <v>491</v>
      </c>
      <c r="O109" s="36">
        <v>3</v>
      </c>
    </row>
    <row r="110" spans="1:15" x14ac:dyDescent="0.25">
      <c r="A110" s="33">
        <v>6</v>
      </c>
      <c r="B110" s="34">
        <v>45479</v>
      </c>
      <c r="C110" s="35" t="s">
        <v>529</v>
      </c>
      <c r="D110" s="35" t="s">
        <v>12</v>
      </c>
      <c r="E110" s="35" t="s">
        <v>419</v>
      </c>
      <c r="F110" s="35">
        <v>425</v>
      </c>
      <c r="G110" s="35">
        <v>247</v>
      </c>
      <c r="H110" s="35">
        <v>235</v>
      </c>
      <c r="I110" s="35">
        <v>494</v>
      </c>
      <c r="J110" s="35">
        <v>603</v>
      </c>
      <c r="K110" s="35">
        <v>289</v>
      </c>
      <c r="L110" s="35">
        <v>705</v>
      </c>
      <c r="M110" s="35">
        <v>161</v>
      </c>
      <c r="N110" s="35">
        <v>848</v>
      </c>
      <c r="O110" s="36">
        <v>420</v>
      </c>
    </row>
    <row r="111" spans="1:15" x14ac:dyDescent="0.25">
      <c r="A111" s="33">
        <v>29</v>
      </c>
      <c r="B111" s="34">
        <v>45441</v>
      </c>
      <c r="C111" s="35" t="s">
        <v>530</v>
      </c>
      <c r="D111" s="35" t="s">
        <v>12</v>
      </c>
      <c r="E111" s="35" t="s">
        <v>193</v>
      </c>
      <c r="F111" s="35">
        <v>468</v>
      </c>
      <c r="G111" s="35">
        <v>650</v>
      </c>
      <c r="H111" s="35">
        <v>131</v>
      </c>
      <c r="I111" s="35">
        <v>616</v>
      </c>
      <c r="J111" s="35">
        <v>152</v>
      </c>
      <c r="K111" s="35">
        <v>120</v>
      </c>
      <c r="L111" s="35">
        <v>484</v>
      </c>
      <c r="M111" s="35">
        <v>266</v>
      </c>
      <c r="N111" s="35">
        <v>576</v>
      </c>
      <c r="O111" s="36">
        <v>499</v>
      </c>
    </row>
    <row r="112" spans="1:15" x14ac:dyDescent="0.25">
      <c r="A112" s="33">
        <v>12</v>
      </c>
      <c r="B112" s="34">
        <v>45608</v>
      </c>
      <c r="C112" s="35" t="s">
        <v>531</v>
      </c>
      <c r="D112" s="35" t="s">
        <v>587</v>
      </c>
      <c r="E112" s="35" t="s">
        <v>413</v>
      </c>
      <c r="F112" s="35">
        <v>615</v>
      </c>
      <c r="G112" s="35">
        <v>980</v>
      </c>
      <c r="H112" s="35">
        <v>973</v>
      </c>
      <c r="I112" s="35">
        <v>535</v>
      </c>
      <c r="J112" s="35">
        <v>707</v>
      </c>
      <c r="K112" s="35">
        <v>999</v>
      </c>
      <c r="L112" s="35">
        <v>322</v>
      </c>
      <c r="M112" s="35">
        <v>897</v>
      </c>
      <c r="N112" s="35">
        <v>410</v>
      </c>
      <c r="O112" s="36">
        <v>718</v>
      </c>
    </row>
    <row r="113" spans="1:15" x14ac:dyDescent="0.25">
      <c r="A113" s="33">
        <v>22</v>
      </c>
      <c r="B113" s="34">
        <v>45587</v>
      </c>
      <c r="C113" s="35" t="s">
        <v>532</v>
      </c>
      <c r="D113" s="35" t="s">
        <v>52</v>
      </c>
      <c r="E113" s="35" t="s">
        <v>193</v>
      </c>
      <c r="F113" s="35">
        <v>224</v>
      </c>
      <c r="G113" s="35">
        <v>388</v>
      </c>
      <c r="H113" s="35">
        <v>484</v>
      </c>
      <c r="I113" s="35">
        <v>54</v>
      </c>
      <c r="J113" s="35">
        <v>328</v>
      </c>
      <c r="K113" s="35">
        <v>435</v>
      </c>
      <c r="L113" s="35">
        <v>731</v>
      </c>
      <c r="M113" s="35">
        <v>690</v>
      </c>
      <c r="N113" s="35">
        <v>284</v>
      </c>
      <c r="O113" s="36">
        <v>68</v>
      </c>
    </row>
    <row r="114" spans="1:15" x14ac:dyDescent="0.25">
      <c r="A114" s="33">
        <v>29</v>
      </c>
      <c r="B114" s="34">
        <v>45502</v>
      </c>
      <c r="C114" s="35" t="s">
        <v>533</v>
      </c>
      <c r="D114" s="35" t="s">
        <v>52</v>
      </c>
      <c r="E114" s="35" t="s">
        <v>419</v>
      </c>
      <c r="F114" s="35">
        <v>736</v>
      </c>
      <c r="G114" s="35">
        <v>209</v>
      </c>
      <c r="H114" s="35">
        <v>147</v>
      </c>
      <c r="I114" s="35">
        <v>14</v>
      </c>
      <c r="J114" s="35">
        <v>71</v>
      </c>
      <c r="K114" s="35">
        <v>237</v>
      </c>
      <c r="L114" s="35">
        <v>59</v>
      </c>
      <c r="M114" s="35">
        <v>874</v>
      </c>
      <c r="N114" s="35">
        <v>194</v>
      </c>
      <c r="O114" s="36">
        <v>646</v>
      </c>
    </row>
    <row r="115" spans="1:15" x14ac:dyDescent="0.25">
      <c r="A115" s="33">
        <v>26</v>
      </c>
      <c r="B115" s="34">
        <v>45348</v>
      </c>
      <c r="C115" s="35" t="s">
        <v>534</v>
      </c>
      <c r="D115" s="35" t="s">
        <v>12</v>
      </c>
      <c r="E115" s="35" t="s">
        <v>413</v>
      </c>
      <c r="F115" s="35">
        <v>240</v>
      </c>
      <c r="G115" s="35">
        <v>49</v>
      </c>
      <c r="H115" s="35">
        <v>272</v>
      </c>
      <c r="I115" s="35">
        <v>713</v>
      </c>
      <c r="J115" s="35">
        <v>315</v>
      </c>
      <c r="K115" s="35">
        <v>225</v>
      </c>
      <c r="L115" s="35">
        <v>350</v>
      </c>
      <c r="M115" s="35">
        <v>877</v>
      </c>
      <c r="N115" s="35">
        <v>316</v>
      </c>
      <c r="O115" s="36">
        <v>875</v>
      </c>
    </row>
    <row r="116" spans="1:15" x14ac:dyDescent="0.25">
      <c r="A116" s="33">
        <v>14</v>
      </c>
      <c r="B116" s="34">
        <v>45365</v>
      </c>
      <c r="C116" s="35" t="s">
        <v>535</v>
      </c>
      <c r="D116" s="35" t="s">
        <v>52</v>
      </c>
      <c r="E116" s="35" t="s">
        <v>414</v>
      </c>
      <c r="F116" s="35">
        <v>950</v>
      </c>
      <c r="G116" s="35">
        <v>263</v>
      </c>
      <c r="H116" s="35">
        <v>527</v>
      </c>
      <c r="I116" s="35">
        <v>760</v>
      </c>
      <c r="J116" s="35">
        <v>648</v>
      </c>
      <c r="K116" s="35">
        <v>652</v>
      </c>
      <c r="L116" s="35">
        <v>291</v>
      </c>
      <c r="M116" s="35">
        <v>528</v>
      </c>
      <c r="N116" s="35">
        <v>752</v>
      </c>
      <c r="O116" s="36">
        <v>903</v>
      </c>
    </row>
    <row r="117" spans="1:15" x14ac:dyDescent="0.25">
      <c r="A117" s="33">
        <v>9</v>
      </c>
      <c r="B117" s="34">
        <v>45421</v>
      </c>
      <c r="C117" s="35" t="s">
        <v>536</v>
      </c>
      <c r="D117" s="35" t="s">
        <v>13</v>
      </c>
      <c r="E117" s="35" t="s">
        <v>588</v>
      </c>
      <c r="F117" s="35">
        <v>691</v>
      </c>
      <c r="G117" s="35">
        <v>989</v>
      </c>
      <c r="H117" s="35">
        <v>456</v>
      </c>
      <c r="I117" s="35">
        <v>630</v>
      </c>
      <c r="J117" s="35">
        <v>137</v>
      </c>
      <c r="K117" s="35">
        <v>583</v>
      </c>
      <c r="L117" s="35">
        <v>273</v>
      </c>
      <c r="M117" s="35">
        <v>846</v>
      </c>
      <c r="N117" s="35">
        <v>864</v>
      </c>
      <c r="O117" s="36">
        <v>561</v>
      </c>
    </row>
    <row r="118" spans="1:15" x14ac:dyDescent="0.25">
      <c r="A118" s="33">
        <v>8</v>
      </c>
      <c r="B118" s="34">
        <v>45573</v>
      </c>
      <c r="C118" s="35" t="s">
        <v>537</v>
      </c>
      <c r="D118" s="35" t="s">
        <v>190</v>
      </c>
      <c r="E118" s="35" t="s">
        <v>413</v>
      </c>
      <c r="F118" s="35">
        <v>543</v>
      </c>
      <c r="G118" s="35">
        <v>368</v>
      </c>
      <c r="H118" s="35">
        <v>283</v>
      </c>
      <c r="I118" s="35">
        <v>218</v>
      </c>
      <c r="J118" s="35">
        <v>445</v>
      </c>
      <c r="K118" s="35">
        <v>570</v>
      </c>
      <c r="L118" s="35">
        <v>259</v>
      </c>
      <c r="M118" s="35">
        <v>674</v>
      </c>
      <c r="N118" s="35">
        <v>363</v>
      </c>
      <c r="O118" s="36">
        <v>175</v>
      </c>
    </row>
    <row r="119" spans="1:15" x14ac:dyDescent="0.25">
      <c r="A119" s="33">
        <v>19</v>
      </c>
      <c r="B119" s="34">
        <v>45492</v>
      </c>
      <c r="C119" s="35" t="s">
        <v>538</v>
      </c>
      <c r="D119" s="35" t="s">
        <v>15</v>
      </c>
      <c r="E119" s="35" t="s">
        <v>588</v>
      </c>
      <c r="F119" s="35">
        <v>586</v>
      </c>
      <c r="G119" s="35">
        <v>270</v>
      </c>
      <c r="H119" s="35">
        <v>927</v>
      </c>
      <c r="I119" s="35">
        <v>953</v>
      </c>
      <c r="J119" s="35">
        <v>588</v>
      </c>
      <c r="K119" s="35">
        <v>437</v>
      </c>
      <c r="L119" s="35">
        <v>264</v>
      </c>
      <c r="M119" s="35">
        <v>807</v>
      </c>
      <c r="N119" s="35">
        <v>195</v>
      </c>
      <c r="O119" s="36">
        <v>415</v>
      </c>
    </row>
    <row r="120" spans="1:15" x14ac:dyDescent="0.25">
      <c r="A120" s="33">
        <v>23</v>
      </c>
      <c r="B120" s="34">
        <v>45527</v>
      </c>
      <c r="C120" s="35" t="s">
        <v>539</v>
      </c>
      <c r="D120" s="35" t="s">
        <v>15</v>
      </c>
      <c r="E120" s="35" t="s">
        <v>193</v>
      </c>
      <c r="F120" s="35">
        <v>91</v>
      </c>
      <c r="G120" s="35">
        <v>473</v>
      </c>
      <c r="H120" s="35">
        <v>669</v>
      </c>
      <c r="I120" s="35">
        <v>891</v>
      </c>
      <c r="J120" s="35">
        <v>692</v>
      </c>
      <c r="K120" s="35">
        <v>365</v>
      </c>
      <c r="L120" s="35">
        <v>7</v>
      </c>
      <c r="M120" s="35">
        <v>381</v>
      </c>
      <c r="N120" s="35">
        <v>836</v>
      </c>
      <c r="O120" s="36">
        <v>269</v>
      </c>
    </row>
    <row r="121" spans="1:15" x14ac:dyDescent="0.25">
      <c r="A121" s="33">
        <v>13</v>
      </c>
      <c r="B121" s="34">
        <v>45517</v>
      </c>
      <c r="C121" s="35" t="s">
        <v>540</v>
      </c>
      <c r="D121" s="35" t="s">
        <v>587</v>
      </c>
      <c r="E121" s="35" t="s">
        <v>588</v>
      </c>
      <c r="F121" s="35">
        <v>830</v>
      </c>
      <c r="G121" s="35">
        <v>942</v>
      </c>
      <c r="H121" s="35">
        <v>888</v>
      </c>
      <c r="I121" s="35">
        <v>2</v>
      </c>
      <c r="J121" s="35">
        <v>686</v>
      </c>
      <c r="K121" s="35">
        <v>926</v>
      </c>
      <c r="L121" s="35">
        <v>21</v>
      </c>
      <c r="M121" s="35">
        <v>10</v>
      </c>
      <c r="N121" s="35">
        <v>419</v>
      </c>
      <c r="O121" s="36">
        <v>203</v>
      </c>
    </row>
    <row r="122" spans="1:15" x14ac:dyDescent="0.25">
      <c r="A122" s="33">
        <v>6</v>
      </c>
      <c r="B122" s="34">
        <v>45297</v>
      </c>
      <c r="C122" s="35" t="s">
        <v>541</v>
      </c>
      <c r="D122" s="35" t="s">
        <v>13</v>
      </c>
      <c r="E122" s="35" t="s">
        <v>411</v>
      </c>
      <c r="F122" s="35">
        <v>974</v>
      </c>
      <c r="G122" s="35">
        <v>42</v>
      </c>
      <c r="H122" s="35">
        <v>919</v>
      </c>
      <c r="I122" s="35">
        <v>195</v>
      </c>
      <c r="J122" s="35">
        <v>515</v>
      </c>
      <c r="K122" s="35">
        <v>165</v>
      </c>
      <c r="L122" s="35">
        <v>331</v>
      </c>
      <c r="M122" s="35">
        <v>748</v>
      </c>
      <c r="N122" s="35">
        <v>338</v>
      </c>
      <c r="O122" s="36">
        <v>713</v>
      </c>
    </row>
    <row r="123" spans="1:15" x14ac:dyDescent="0.25">
      <c r="A123" s="33">
        <v>25</v>
      </c>
      <c r="B123" s="34">
        <v>45407</v>
      </c>
      <c r="C123" s="35" t="s">
        <v>542</v>
      </c>
      <c r="D123" s="35" t="s">
        <v>190</v>
      </c>
      <c r="E123" s="35" t="s">
        <v>588</v>
      </c>
      <c r="F123" s="35">
        <v>857</v>
      </c>
      <c r="G123" s="35">
        <v>359</v>
      </c>
      <c r="H123" s="35">
        <v>131</v>
      </c>
      <c r="I123" s="35">
        <v>26</v>
      </c>
      <c r="J123" s="35">
        <v>869</v>
      </c>
      <c r="K123" s="35">
        <v>822</v>
      </c>
      <c r="L123" s="35">
        <v>302</v>
      </c>
      <c r="M123" s="35">
        <v>495</v>
      </c>
      <c r="N123" s="35">
        <v>4</v>
      </c>
      <c r="O123" s="36">
        <v>538</v>
      </c>
    </row>
    <row r="124" spans="1:15" x14ac:dyDescent="0.25">
      <c r="A124" s="33">
        <v>26</v>
      </c>
      <c r="B124" s="34">
        <v>45499</v>
      </c>
      <c r="C124" s="35" t="s">
        <v>543</v>
      </c>
      <c r="D124" s="35" t="s">
        <v>15</v>
      </c>
      <c r="E124" s="35" t="s">
        <v>411</v>
      </c>
      <c r="F124" s="35">
        <v>672</v>
      </c>
      <c r="G124" s="35">
        <v>248</v>
      </c>
      <c r="H124" s="35">
        <v>823</v>
      </c>
      <c r="I124" s="35">
        <v>828</v>
      </c>
      <c r="J124" s="35">
        <v>985</v>
      </c>
      <c r="K124" s="35">
        <v>785</v>
      </c>
      <c r="L124" s="35">
        <v>178</v>
      </c>
      <c r="M124" s="35">
        <v>18</v>
      </c>
      <c r="N124" s="35">
        <v>117</v>
      </c>
      <c r="O124" s="36">
        <v>938</v>
      </c>
    </row>
    <row r="125" spans="1:15" x14ac:dyDescent="0.25">
      <c r="A125" s="33">
        <v>1</v>
      </c>
      <c r="B125" s="34">
        <v>45323</v>
      </c>
      <c r="C125" s="35" t="s">
        <v>544</v>
      </c>
      <c r="D125" s="35" t="s">
        <v>13</v>
      </c>
      <c r="E125" s="35" t="s">
        <v>411</v>
      </c>
      <c r="F125" s="35">
        <v>809</v>
      </c>
      <c r="G125" s="35">
        <v>836</v>
      </c>
      <c r="H125" s="35">
        <v>889</v>
      </c>
      <c r="I125" s="35">
        <v>931</v>
      </c>
      <c r="J125" s="35">
        <v>18</v>
      </c>
      <c r="K125" s="35">
        <v>705</v>
      </c>
      <c r="L125" s="35">
        <v>114</v>
      </c>
      <c r="M125" s="35">
        <v>322</v>
      </c>
      <c r="N125" s="35">
        <v>35</v>
      </c>
      <c r="O125" s="36">
        <v>334</v>
      </c>
    </row>
    <row r="126" spans="1:15" x14ac:dyDescent="0.25">
      <c r="A126" s="33">
        <v>11</v>
      </c>
      <c r="B126" s="34">
        <v>45423</v>
      </c>
      <c r="C126" s="35" t="s">
        <v>545</v>
      </c>
      <c r="D126" s="35" t="s">
        <v>587</v>
      </c>
      <c r="E126" s="35" t="s">
        <v>414</v>
      </c>
      <c r="F126" s="35">
        <v>276</v>
      </c>
      <c r="G126" s="35">
        <v>163</v>
      </c>
      <c r="H126" s="35">
        <v>906</v>
      </c>
      <c r="I126" s="35">
        <v>46</v>
      </c>
      <c r="J126" s="35">
        <v>566</v>
      </c>
      <c r="K126" s="35">
        <v>62</v>
      </c>
      <c r="L126" s="35">
        <v>729</v>
      </c>
      <c r="M126" s="35">
        <v>207</v>
      </c>
      <c r="N126" s="35">
        <v>690</v>
      </c>
      <c r="O126" s="36">
        <v>375</v>
      </c>
    </row>
    <row r="127" spans="1:15" x14ac:dyDescent="0.25">
      <c r="A127" s="33">
        <v>1</v>
      </c>
      <c r="B127" s="34">
        <v>45627</v>
      </c>
      <c r="C127" s="35" t="s">
        <v>546</v>
      </c>
      <c r="D127" s="35" t="s">
        <v>52</v>
      </c>
      <c r="E127" s="35" t="s">
        <v>411</v>
      </c>
      <c r="F127" s="35">
        <v>191</v>
      </c>
      <c r="G127" s="35">
        <v>111</v>
      </c>
      <c r="H127" s="35">
        <v>961</v>
      </c>
      <c r="I127" s="35">
        <v>888</v>
      </c>
      <c r="J127" s="35">
        <v>257</v>
      </c>
      <c r="K127" s="35">
        <v>612</v>
      </c>
      <c r="L127" s="35">
        <v>142</v>
      </c>
      <c r="M127" s="35">
        <v>930</v>
      </c>
      <c r="N127" s="35">
        <v>355</v>
      </c>
      <c r="O127" s="36">
        <v>666</v>
      </c>
    </row>
    <row r="128" spans="1:15" x14ac:dyDescent="0.25">
      <c r="A128" s="33">
        <v>1</v>
      </c>
      <c r="B128" s="34">
        <v>45597</v>
      </c>
      <c r="C128" s="35" t="s">
        <v>547</v>
      </c>
      <c r="D128" s="35" t="s">
        <v>15</v>
      </c>
      <c r="E128" s="35" t="s">
        <v>588</v>
      </c>
      <c r="F128" s="35">
        <v>399</v>
      </c>
      <c r="G128" s="35">
        <v>460</v>
      </c>
      <c r="H128" s="35">
        <v>469</v>
      </c>
      <c r="I128" s="35">
        <v>801</v>
      </c>
      <c r="J128" s="35">
        <v>696</v>
      </c>
      <c r="K128" s="35">
        <v>629</v>
      </c>
      <c r="L128" s="35">
        <v>647</v>
      </c>
      <c r="M128" s="35">
        <v>284</v>
      </c>
      <c r="N128" s="35">
        <v>394</v>
      </c>
      <c r="O128" s="36">
        <v>601</v>
      </c>
    </row>
    <row r="129" spans="1:15" x14ac:dyDescent="0.25">
      <c r="A129" s="33">
        <v>17</v>
      </c>
      <c r="B129" s="34">
        <v>45308</v>
      </c>
      <c r="C129" s="35" t="s">
        <v>548</v>
      </c>
      <c r="D129" s="35" t="s">
        <v>13</v>
      </c>
      <c r="E129" s="35" t="s">
        <v>193</v>
      </c>
      <c r="F129" s="35">
        <v>973</v>
      </c>
      <c r="G129" s="35">
        <v>531</v>
      </c>
      <c r="H129" s="35">
        <v>148</v>
      </c>
      <c r="I129" s="35">
        <v>908</v>
      </c>
      <c r="J129" s="35">
        <v>127</v>
      </c>
      <c r="K129" s="35">
        <v>530</v>
      </c>
      <c r="L129" s="35">
        <v>894</v>
      </c>
      <c r="M129" s="35">
        <v>222</v>
      </c>
      <c r="N129" s="35">
        <v>696</v>
      </c>
      <c r="O129" s="36">
        <v>789</v>
      </c>
    </row>
    <row r="130" spans="1:15" x14ac:dyDescent="0.25">
      <c r="A130" s="33">
        <v>13</v>
      </c>
      <c r="B130" s="34">
        <v>45609</v>
      </c>
      <c r="C130" s="35" t="s">
        <v>549</v>
      </c>
      <c r="D130" s="35" t="s">
        <v>12</v>
      </c>
      <c r="E130" s="35" t="s">
        <v>588</v>
      </c>
      <c r="F130" s="35">
        <v>512</v>
      </c>
      <c r="G130" s="35">
        <v>987</v>
      </c>
      <c r="H130" s="35">
        <v>587</v>
      </c>
      <c r="I130" s="35">
        <v>729</v>
      </c>
      <c r="J130" s="35">
        <v>108</v>
      </c>
      <c r="K130" s="35">
        <v>186</v>
      </c>
      <c r="L130" s="35">
        <v>481</v>
      </c>
      <c r="M130" s="35">
        <v>612</v>
      </c>
      <c r="N130" s="35">
        <v>131</v>
      </c>
      <c r="O130" s="36">
        <v>82</v>
      </c>
    </row>
    <row r="131" spans="1:15" x14ac:dyDescent="0.25">
      <c r="A131" s="33">
        <v>27</v>
      </c>
      <c r="B131" s="34">
        <v>45562</v>
      </c>
      <c r="C131" s="35" t="s">
        <v>550</v>
      </c>
      <c r="D131" s="35" t="s">
        <v>15</v>
      </c>
      <c r="E131" s="35" t="s">
        <v>414</v>
      </c>
      <c r="F131" s="35">
        <v>485</v>
      </c>
      <c r="G131" s="35">
        <v>201</v>
      </c>
      <c r="H131" s="35">
        <v>446</v>
      </c>
      <c r="I131" s="35">
        <v>120</v>
      </c>
      <c r="J131" s="35">
        <v>327</v>
      </c>
      <c r="K131" s="35">
        <v>126</v>
      </c>
      <c r="L131" s="35">
        <v>707</v>
      </c>
      <c r="M131" s="35">
        <v>635</v>
      </c>
      <c r="N131" s="35">
        <v>612</v>
      </c>
      <c r="O131" s="36">
        <v>992</v>
      </c>
    </row>
    <row r="132" spans="1:15" x14ac:dyDescent="0.25">
      <c r="A132" s="33">
        <v>14</v>
      </c>
      <c r="B132" s="34">
        <v>45305</v>
      </c>
      <c r="C132" s="35" t="s">
        <v>551</v>
      </c>
      <c r="D132" s="35" t="s">
        <v>587</v>
      </c>
      <c r="E132" s="35" t="s">
        <v>588</v>
      </c>
      <c r="F132" s="35">
        <v>570</v>
      </c>
      <c r="G132" s="35">
        <v>530</v>
      </c>
      <c r="H132" s="35">
        <v>211</v>
      </c>
      <c r="I132" s="35">
        <v>894</v>
      </c>
      <c r="J132" s="35">
        <v>461</v>
      </c>
      <c r="K132" s="35">
        <v>286</v>
      </c>
      <c r="L132" s="35">
        <v>897</v>
      </c>
      <c r="M132" s="35">
        <v>634</v>
      </c>
      <c r="N132" s="35">
        <v>672</v>
      </c>
      <c r="O132" s="36">
        <v>696</v>
      </c>
    </row>
    <row r="133" spans="1:15" x14ac:dyDescent="0.25">
      <c r="A133" s="33">
        <v>17</v>
      </c>
      <c r="B133" s="34">
        <v>45308</v>
      </c>
      <c r="C133" s="35" t="s">
        <v>552</v>
      </c>
      <c r="D133" s="35" t="s">
        <v>52</v>
      </c>
      <c r="E133" s="35" t="s">
        <v>193</v>
      </c>
      <c r="F133" s="35">
        <v>277</v>
      </c>
      <c r="G133" s="35">
        <v>656</v>
      </c>
      <c r="H133" s="35">
        <v>250</v>
      </c>
      <c r="I133" s="35">
        <v>570</v>
      </c>
      <c r="J133" s="35">
        <v>361</v>
      </c>
      <c r="K133" s="35">
        <v>991</v>
      </c>
      <c r="L133" s="35">
        <v>937</v>
      </c>
      <c r="M133" s="35">
        <v>527</v>
      </c>
      <c r="N133" s="35">
        <v>41</v>
      </c>
      <c r="O133" s="36">
        <v>720</v>
      </c>
    </row>
    <row r="134" spans="1:15" x14ac:dyDescent="0.25">
      <c r="A134" s="33">
        <v>19</v>
      </c>
      <c r="B134" s="34">
        <v>45523</v>
      </c>
      <c r="C134" s="35" t="s">
        <v>553</v>
      </c>
      <c r="D134" s="35" t="s">
        <v>587</v>
      </c>
      <c r="E134" s="35" t="s">
        <v>411</v>
      </c>
      <c r="F134" s="35">
        <v>941</v>
      </c>
      <c r="G134" s="35">
        <v>723</v>
      </c>
      <c r="H134" s="35">
        <v>194</v>
      </c>
      <c r="I134" s="35">
        <v>758</v>
      </c>
      <c r="J134" s="35">
        <v>993</v>
      </c>
      <c r="K134" s="35">
        <v>853</v>
      </c>
      <c r="L134" s="35">
        <v>559</v>
      </c>
      <c r="M134" s="35">
        <v>692</v>
      </c>
      <c r="N134" s="35">
        <v>352</v>
      </c>
      <c r="O134" s="36">
        <v>715</v>
      </c>
    </row>
    <row r="135" spans="1:15" x14ac:dyDescent="0.25">
      <c r="A135" s="33">
        <v>24</v>
      </c>
      <c r="B135" s="34">
        <v>45589</v>
      </c>
      <c r="C135" s="35" t="s">
        <v>554</v>
      </c>
      <c r="D135" s="35" t="s">
        <v>52</v>
      </c>
      <c r="E135" s="35" t="s">
        <v>413</v>
      </c>
      <c r="F135" s="35">
        <v>544</v>
      </c>
      <c r="G135" s="35">
        <v>683</v>
      </c>
      <c r="H135" s="35">
        <v>783</v>
      </c>
      <c r="I135" s="35">
        <v>83</v>
      </c>
      <c r="J135" s="35">
        <v>181</v>
      </c>
      <c r="K135" s="35">
        <v>252</v>
      </c>
      <c r="L135" s="35">
        <v>429</v>
      </c>
      <c r="M135" s="35">
        <v>445</v>
      </c>
      <c r="N135" s="35">
        <v>369</v>
      </c>
      <c r="O135" s="36">
        <v>673</v>
      </c>
    </row>
    <row r="136" spans="1:15" x14ac:dyDescent="0.25">
      <c r="A136" s="33">
        <v>28</v>
      </c>
      <c r="B136" s="34">
        <v>45563</v>
      </c>
      <c r="C136" s="35" t="s">
        <v>555</v>
      </c>
      <c r="D136" s="35" t="s">
        <v>13</v>
      </c>
      <c r="E136" s="35" t="s">
        <v>413</v>
      </c>
      <c r="F136" s="35">
        <v>818</v>
      </c>
      <c r="G136" s="35">
        <v>564</v>
      </c>
      <c r="H136" s="35">
        <v>956</v>
      </c>
      <c r="I136" s="35">
        <v>405</v>
      </c>
      <c r="J136" s="35">
        <v>72</v>
      </c>
      <c r="K136" s="35">
        <v>910</v>
      </c>
      <c r="L136" s="35">
        <v>876</v>
      </c>
      <c r="M136" s="35">
        <v>306</v>
      </c>
      <c r="N136" s="35">
        <v>719</v>
      </c>
      <c r="O136" s="36">
        <v>22</v>
      </c>
    </row>
    <row r="137" spans="1:15" x14ac:dyDescent="0.25">
      <c r="A137" s="33">
        <v>9</v>
      </c>
      <c r="B137" s="34">
        <v>45635</v>
      </c>
      <c r="C137" s="35" t="s">
        <v>556</v>
      </c>
      <c r="D137" s="35" t="s">
        <v>13</v>
      </c>
      <c r="E137" s="35" t="s">
        <v>419</v>
      </c>
      <c r="F137" s="35">
        <v>824</v>
      </c>
      <c r="G137" s="35">
        <v>107</v>
      </c>
      <c r="H137" s="35">
        <v>692</v>
      </c>
      <c r="I137" s="35">
        <v>78</v>
      </c>
      <c r="J137" s="35">
        <v>495</v>
      </c>
      <c r="K137" s="35">
        <v>97</v>
      </c>
      <c r="L137" s="35">
        <v>245</v>
      </c>
      <c r="M137" s="35">
        <v>526</v>
      </c>
      <c r="N137" s="35">
        <v>214</v>
      </c>
      <c r="O137" s="36">
        <v>464</v>
      </c>
    </row>
    <row r="138" spans="1:15" x14ac:dyDescent="0.25">
      <c r="A138" s="33">
        <v>8</v>
      </c>
      <c r="B138" s="34">
        <v>45390</v>
      </c>
      <c r="C138" s="35" t="s">
        <v>557</v>
      </c>
      <c r="D138" s="35" t="s">
        <v>12</v>
      </c>
      <c r="E138" s="35" t="s">
        <v>411</v>
      </c>
      <c r="F138" s="35">
        <v>877</v>
      </c>
      <c r="G138" s="35">
        <v>490</v>
      </c>
      <c r="H138" s="35">
        <v>402</v>
      </c>
      <c r="I138" s="35">
        <v>612</v>
      </c>
      <c r="J138" s="35">
        <v>994</v>
      </c>
      <c r="K138" s="35">
        <v>962</v>
      </c>
      <c r="L138" s="35">
        <v>428</v>
      </c>
      <c r="M138" s="35">
        <v>952</v>
      </c>
      <c r="N138" s="35">
        <v>594</v>
      </c>
      <c r="O138" s="36">
        <v>873</v>
      </c>
    </row>
    <row r="139" spans="1:15" x14ac:dyDescent="0.25">
      <c r="A139" s="33">
        <v>26</v>
      </c>
      <c r="B139" s="34">
        <v>45499</v>
      </c>
      <c r="C139" s="35" t="s">
        <v>558</v>
      </c>
      <c r="D139" s="35" t="s">
        <v>52</v>
      </c>
      <c r="E139" s="35" t="s">
        <v>411</v>
      </c>
      <c r="F139" s="35">
        <v>871</v>
      </c>
      <c r="G139" s="35">
        <v>635</v>
      </c>
      <c r="H139" s="35">
        <v>116</v>
      </c>
      <c r="I139" s="35">
        <v>182</v>
      </c>
      <c r="J139" s="35">
        <v>514</v>
      </c>
      <c r="K139" s="35">
        <v>150</v>
      </c>
      <c r="L139" s="35">
        <v>335</v>
      </c>
      <c r="M139" s="35">
        <v>647</v>
      </c>
      <c r="N139" s="35">
        <v>10</v>
      </c>
      <c r="O139" s="36">
        <v>876</v>
      </c>
    </row>
    <row r="140" spans="1:15" x14ac:dyDescent="0.25">
      <c r="A140" s="33">
        <v>15</v>
      </c>
      <c r="B140" s="34">
        <v>45580</v>
      </c>
      <c r="C140" s="35" t="s">
        <v>559</v>
      </c>
      <c r="D140" s="35" t="s">
        <v>13</v>
      </c>
      <c r="E140" s="35" t="s">
        <v>419</v>
      </c>
      <c r="F140" s="35">
        <v>556</v>
      </c>
      <c r="G140" s="35">
        <v>788</v>
      </c>
      <c r="H140" s="35">
        <v>761</v>
      </c>
      <c r="I140" s="35">
        <v>783</v>
      </c>
      <c r="J140" s="35">
        <v>309</v>
      </c>
      <c r="K140" s="35">
        <v>415</v>
      </c>
      <c r="L140" s="35">
        <v>867</v>
      </c>
      <c r="M140" s="35">
        <v>848</v>
      </c>
      <c r="N140" s="35">
        <v>335</v>
      </c>
      <c r="O140" s="36">
        <v>283</v>
      </c>
    </row>
    <row r="141" spans="1:15" x14ac:dyDescent="0.25">
      <c r="A141" s="33">
        <v>19</v>
      </c>
      <c r="B141" s="34">
        <v>45401</v>
      </c>
      <c r="C141" s="35" t="s">
        <v>560</v>
      </c>
      <c r="D141" s="35" t="s">
        <v>52</v>
      </c>
      <c r="E141" s="35" t="s">
        <v>193</v>
      </c>
      <c r="F141" s="35">
        <v>10</v>
      </c>
      <c r="G141" s="35">
        <v>135</v>
      </c>
      <c r="H141" s="35">
        <v>171</v>
      </c>
      <c r="I141" s="35">
        <v>732</v>
      </c>
      <c r="J141" s="35">
        <v>101</v>
      </c>
      <c r="K141" s="35">
        <v>198</v>
      </c>
      <c r="L141" s="35">
        <v>491</v>
      </c>
      <c r="M141" s="35">
        <v>311</v>
      </c>
      <c r="N141" s="35">
        <v>431</v>
      </c>
      <c r="O141" s="36">
        <v>113</v>
      </c>
    </row>
    <row r="142" spans="1:15" x14ac:dyDescent="0.25">
      <c r="A142" s="33">
        <v>1</v>
      </c>
      <c r="B142" s="34">
        <v>45627</v>
      </c>
      <c r="C142" s="35" t="s">
        <v>561</v>
      </c>
      <c r="D142" s="35" t="s">
        <v>190</v>
      </c>
      <c r="E142" s="35" t="s">
        <v>414</v>
      </c>
      <c r="F142" s="35">
        <v>247</v>
      </c>
      <c r="G142" s="35">
        <v>939</v>
      </c>
      <c r="H142" s="35">
        <v>326</v>
      </c>
      <c r="I142" s="35">
        <v>898</v>
      </c>
      <c r="J142" s="35">
        <v>439</v>
      </c>
      <c r="K142" s="35">
        <v>410</v>
      </c>
      <c r="L142" s="35">
        <v>158</v>
      </c>
      <c r="M142" s="35">
        <v>325</v>
      </c>
      <c r="N142" s="35">
        <v>326</v>
      </c>
      <c r="O142" s="36">
        <v>159</v>
      </c>
    </row>
    <row r="143" spans="1:15" x14ac:dyDescent="0.25">
      <c r="A143" s="33">
        <v>16</v>
      </c>
      <c r="B143" s="34">
        <v>45338</v>
      </c>
      <c r="C143" s="35" t="s">
        <v>562</v>
      </c>
      <c r="D143" s="35" t="s">
        <v>15</v>
      </c>
      <c r="E143" s="35" t="s">
        <v>411</v>
      </c>
      <c r="F143" s="35">
        <v>373</v>
      </c>
      <c r="G143" s="35">
        <v>676</v>
      </c>
      <c r="H143" s="35">
        <v>274</v>
      </c>
      <c r="I143" s="35">
        <v>881</v>
      </c>
      <c r="J143" s="35">
        <v>273</v>
      </c>
      <c r="K143" s="35">
        <v>796</v>
      </c>
      <c r="L143" s="35">
        <v>929</v>
      </c>
      <c r="M143" s="35">
        <v>661</v>
      </c>
      <c r="N143" s="35">
        <v>351</v>
      </c>
      <c r="O143" s="36">
        <v>986</v>
      </c>
    </row>
    <row r="144" spans="1:15" x14ac:dyDescent="0.25">
      <c r="A144" s="33">
        <v>31</v>
      </c>
      <c r="B144" s="34">
        <v>45535</v>
      </c>
      <c r="C144" s="35" t="s">
        <v>563</v>
      </c>
      <c r="D144" s="35" t="s">
        <v>13</v>
      </c>
      <c r="E144" s="35" t="s">
        <v>414</v>
      </c>
      <c r="F144" s="35">
        <v>784</v>
      </c>
      <c r="G144" s="35">
        <v>918</v>
      </c>
      <c r="H144" s="35">
        <v>418</v>
      </c>
      <c r="I144" s="35">
        <v>348</v>
      </c>
      <c r="J144" s="35">
        <v>602</v>
      </c>
      <c r="K144" s="35">
        <v>419</v>
      </c>
      <c r="L144" s="35">
        <v>458</v>
      </c>
      <c r="M144" s="35">
        <v>625</v>
      </c>
      <c r="N144" s="35">
        <v>400</v>
      </c>
      <c r="O144" s="36">
        <v>124</v>
      </c>
    </row>
    <row r="145" spans="1:15" x14ac:dyDescent="0.25">
      <c r="A145" s="33">
        <v>12</v>
      </c>
      <c r="B145" s="34">
        <v>45516</v>
      </c>
      <c r="C145" s="35" t="s">
        <v>564</v>
      </c>
      <c r="D145" s="35" t="s">
        <v>190</v>
      </c>
      <c r="E145" s="35" t="s">
        <v>419</v>
      </c>
      <c r="F145" s="35">
        <v>246</v>
      </c>
      <c r="G145" s="35">
        <v>440</v>
      </c>
      <c r="H145" s="35">
        <v>725</v>
      </c>
      <c r="I145" s="35">
        <v>76</v>
      </c>
      <c r="J145" s="35">
        <v>684</v>
      </c>
      <c r="K145" s="35">
        <v>286</v>
      </c>
      <c r="L145" s="35">
        <v>530</v>
      </c>
      <c r="M145" s="35">
        <v>226</v>
      </c>
      <c r="N145" s="35">
        <v>301</v>
      </c>
      <c r="O145" s="36">
        <v>934</v>
      </c>
    </row>
    <row r="146" spans="1:15" x14ac:dyDescent="0.25">
      <c r="A146" s="33">
        <v>1</v>
      </c>
      <c r="B146" s="34">
        <v>45566</v>
      </c>
      <c r="C146" s="35" t="s">
        <v>565</v>
      </c>
      <c r="D146" s="35" t="s">
        <v>12</v>
      </c>
      <c r="E146" s="35" t="s">
        <v>588</v>
      </c>
      <c r="F146" s="35">
        <v>276</v>
      </c>
      <c r="G146" s="35">
        <v>615</v>
      </c>
      <c r="H146" s="35">
        <v>470</v>
      </c>
      <c r="I146" s="35">
        <v>341</v>
      </c>
      <c r="J146" s="35">
        <v>590</v>
      </c>
      <c r="K146" s="35">
        <v>644</v>
      </c>
      <c r="L146" s="35">
        <v>587</v>
      </c>
      <c r="M146" s="35">
        <v>836</v>
      </c>
      <c r="N146" s="35">
        <v>910</v>
      </c>
      <c r="O146" s="36">
        <v>217</v>
      </c>
    </row>
    <row r="147" spans="1:15" x14ac:dyDescent="0.25">
      <c r="A147" s="33">
        <v>4</v>
      </c>
      <c r="B147" s="34">
        <v>45447</v>
      </c>
      <c r="C147" s="35" t="s">
        <v>566</v>
      </c>
      <c r="D147" s="35" t="s">
        <v>12</v>
      </c>
      <c r="E147" s="35" t="s">
        <v>413</v>
      </c>
      <c r="F147" s="35">
        <v>479</v>
      </c>
      <c r="G147" s="35">
        <v>787</v>
      </c>
      <c r="H147" s="35">
        <v>590</v>
      </c>
      <c r="I147" s="35">
        <v>612</v>
      </c>
      <c r="J147" s="35">
        <v>174</v>
      </c>
      <c r="K147" s="35">
        <v>613</v>
      </c>
      <c r="L147" s="35">
        <v>304</v>
      </c>
      <c r="M147" s="35">
        <v>125</v>
      </c>
      <c r="N147" s="35">
        <v>854</v>
      </c>
      <c r="O147" s="36">
        <v>231</v>
      </c>
    </row>
    <row r="148" spans="1:15" x14ac:dyDescent="0.25">
      <c r="A148" s="33">
        <v>17</v>
      </c>
      <c r="B148" s="34">
        <v>45308</v>
      </c>
      <c r="C148" s="35" t="s">
        <v>567</v>
      </c>
      <c r="D148" s="35" t="s">
        <v>13</v>
      </c>
      <c r="E148" s="35" t="s">
        <v>588</v>
      </c>
      <c r="F148" s="35">
        <v>867</v>
      </c>
      <c r="G148" s="35">
        <v>870</v>
      </c>
      <c r="H148" s="35">
        <v>835</v>
      </c>
      <c r="I148" s="35">
        <v>526</v>
      </c>
      <c r="J148" s="35">
        <v>431</v>
      </c>
      <c r="K148" s="35">
        <v>14</v>
      </c>
      <c r="L148" s="35">
        <v>836</v>
      </c>
      <c r="M148" s="35">
        <v>857</v>
      </c>
      <c r="N148" s="35">
        <v>885</v>
      </c>
      <c r="O148" s="36">
        <v>940</v>
      </c>
    </row>
    <row r="149" spans="1:15" x14ac:dyDescent="0.25">
      <c r="A149" s="33">
        <v>25</v>
      </c>
      <c r="B149" s="34">
        <v>45316</v>
      </c>
      <c r="C149" s="35" t="s">
        <v>568</v>
      </c>
      <c r="D149" s="35" t="s">
        <v>52</v>
      </c>
      <c r="E149" s="35" t="s">
        <v>414</v>
      </c>
      <c r="F149" s="35">
        <v>58</v>
      </c>
      <c r="G149" s="35">
        <v>972</v>
      </c>
      <c r="H149" s="35">
        <v>817</v>
      </c>
      <c r="I149" s="35">
        <v>187</v>
      </c>
      <c r="J149" s="35">
        <v>830</v>
      </c>
      <c r="K149" s="35">
        <v>174</v>
      </c>
      <c r="L149" s="35">
        <v>130</v>
      </c>
      <c r="M149" s="35">
        <v>130</v>
      </c>
      <c r="N149" s="35">
        <v>299</v>
      </c>
      <c r="O149" s="36">
        <v>558</v>
      </c>
    </row>
    <row r="150" spans="1:15" x14ac:dyDescent="0.25">
      <c r="A150" s="33">
        <v>18</v>
      </c>
      <c r="B150" s="34">
        <v>45614</v>
      </c>
      <c r="C150" s="35" t="s">
        <v>569</v>
      </c>
      <c r="D150" s="35" t="s">
        <v>587</v>
      </c>
      <c r="E150" s="35" t="s">
        <v>588</v>
      </c>
      <c r="F150" s="35">
        <v>334</v>
      </c>
      <c r="G150" s="35">
        <v>55</v>
      </c>
      <c r="H150" s="35">
        <v>936</v>
      </c>
      <c r="I150" s="35">
        <v>162</v>
      </c>
      <c r="J150" s="35">
        <v>869</v>
      </c>
      <c r="K150" s="35">
        <v>751</v>
      </c>
      <c r="L150" s="35">
        <v>581</v>
      </c>
      <c r="M150" s="35">
        <v>282</v>
      </c>
      <c r="N150" s="35">
        <v>492</v>
      </c>
      <c r="O150" s="36">
        <v>895</v>
      </c>
    </row>
    <row r="151" spans="1:15" x14ac:dyDescent="0.25">
      <c r="A151" s="37">
        <v>12</v>
      </c>
      <c r="B151" s="38">
        <v>45303</v>
      </c>
      <c r="C151" s="39" t="s">
        <v>570</v>
      </c>
      <c r="D151" s="39" t="s">
        <v>15</v>
      </c>
      <c r="E151" s="39" t="s">
        <v>419</v>
      </c>
      <c r="F151" s="39">
        <v>404</v>
      </c>
      <c r="G151" s="39">
        <v>58</v>
      </c>
      <c r="H151" s="39">
        <v>534</v>
      </c>
      <c r="I151" s="39">
        <v>655</v>
      </c>
      <c r="J151" s="39">
        <v>413</v>
      </c>
      <c r="K151" s="39">
        <v>204</v>
      </c>
      <c r="L151" s="39">
        <v>839</v>
      </c>
      <c r="M151" s="39">
        <v>716</v>
      </c>
      <c r="N151" s="39">
        <v>813</v>
      </c>
      <c r="O151" s="40">
        <v>774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A7982-F77D-476D-9CB8-ED9FF11BFE86}">
  <sheetPr codeName="Sheet3"/>
  <dimension ref="A1:V161"/>
  <sheetViews>
    <sheetView workbookViewId="0">
      <selection activeCell="M28" sqref="M28"/>
    </sheetView>
  </sheetViews>
  <sheetFormatPr defaultRowHeight="15" x14ac:dyDescent="0.25"/>
  <cols>
    <col min="1" max="1" width="10.42578125" bestFit="1" customWidth="1"/>
    <col min="15" max="18" width="10.42578125" bestFit="1" customWidth="1"/>
    <col min="19" max="19" width="10.42578125" customWidth="1"/>
  </cols>
  <sheetData>
    <row r="1" spans="1:22" x14ac:dyDescent="0.25">
      <c r="A1" t="s">
        <v>323</v>
      </c>
      <c r="B1" t="s">
        <v>0</v>
      </c>
      <c r="C1" t="s">
        <v>10</v>
      </c>
      <c r="D1" t="s">
        <v>397</v>
      </c>
      <c r="E1" t="s">
        <v>577</v>
      </c>
      <c r="F1" t="s">
        <v>578</v>
      </c>
      <c r="G1" t="s">
        <v>579</v>
      </c>
      <c r="H1" t="s">
        <v>580</v>
      </c>
      <c r="I1" t="s">
        <v>581</v>
      </c>
      <c r="J1" t="s">
        <v>582</v>
      </c>
      <c r="K1" t="s">
        <v>583</v>
      </c>
      <c r="L1" t="s">
        <v>584</v>
      </c>
      <c r="M1" t="s">
        <v>585</v>
      </c>
      <c r="N1" t="s">
        <v>586</v>
      </c>
      <c r="R1" s="10">
        <v>45419</v>
      </c>
      <c r="S1" s="10">
        <v>45461</v>
      </c>
    </row>
    <row r="2" spans="1:22" x14ac:dyDescent="0.25">
      <c r="A2" s="10">
        <v>45366</v>
      </c>
      <c r="B2" t="s">
        <v>421</v>
      </c>
      <c r="C2" t="s">
        <v>190</v>
      </c>
      <c r="D2" t="s">
        <v>419</v>
      </c>
      <c r="E2">
        <v>101</v>
      </c>
      <c r="F2">
        <v>220</v>
      </c>
      <c r="G2">
        <v>214</v>
      </c>
      <c r="H2">
        <v>714</v>
      </c>
      <c r="I2">
        <v>891</v>
      </c>
      <c r="J2">
        <v>927</v>
      </c>
      <c r="K2">
        <v>289</v>
      </c>
      <c r="L2">
        <v>155</v>
      </c>
      <c r="M2">
        <v>874</v>
      </c>
      <c r="N2">
        <v>344</v>
      </c>
    </row>
    <row r="3" spans="1:22" x14ac:dyDescent="0.25">
      <c r="A3" s="10">
        <v>45419</v>
      </c>
      <c r="B3" t="s">
        <v>422</v>
      </c>
      <c r="C3" t="s">
        <v>15</v>
      </c>
      <c r="D3" t="s">
        <v>414</v>
      </c>
      <c r="E3">
        <v>189</v>
      </c>
      <c r="F3">
        <v>846</v>
      </c>
      <c r="G3">
        <v>470</v>
      </c>
      <c r="H3">
        <v>855</v>
      </c>
      <c r="I3">
        <v>199</v>
      </c>
      <c r="J3">
        <v>983</v>
      </c>
      <c r="K3">
        <v>106</v>
      </c>
      <c r="L3">
        <v>616</v>
      </c>
      <c r="M3">
        <v>338</v>
      </c>
      <c r="N3">
        <v>90</v>
      </c>
    </row>
    <row r="4" spans="1:22" hidden="1" x14ac:dyDescent="0.25">
      <c r="A4" s="10">
        <v>45637</v>
      </c>
      <c r="B4" t="s">
        <v>423</v>
      </c>
      <c r="C4" t="s">
        <v>12</v>
      </c>
      <c r="D4" t="s">
        <v>419</v>
      </c>
      <c r="E4">
        <v>20</v>
      </c>
      <c r="F4">
        <v>325</v>
      </c>
      <c r="G4">
        <v>855</v>
      </c>
      <c r="H4">
        <v>858</v>
      </c>
      <c r="I4">
        <v>158</v>
      </c>
      <c r="J4">
        <v>687</v>
      </c>
      <c r="K4">
        <v>720</v>
      </c>
      <c r="L4">
        <v>575</v>
      </c>
      <c r="M4">
        <v>339</v>
      </c>
      <c r="N4">
        <v>960</v>
      </c>
      <c r="P4" t="s">
        <v>10</v>
      </c>
      <c r="Q4" t="s">
        <v>397</v>
      </c>
    </row>
    <row r="5" spans="1:22" x14ac:dyDescent="0.25">
      <c r="A5" s="10">
        <v>45535</v>
      </c>
      <c r="B5" t="s">
        <v>424</v>
      </c>
      <c r="C5" t="s">
        <v>587</v>
      </c>
      <c r="D5" t="s">
        <v>193</v>
      </c>
      <c r="E5">
        <v>340</v>
      </c>
      <c r="F5">
        <v>661</v>
      </c>
      <c r="G5">
        <v>786</v>
      </c>
      <c r="H5">
        <v>673</v>
      </c>
      <c r="I5">
        <v>135</v>
      </c>
      <c r="J5">
        <v>935</v>
      </c>
      <c r="K5">
        <v>309</v>
      </c>
      <c r="L5">
        <v>150</v>
      </c>
      <c r="M5">
        <v>413</v>
      </c>
      <c r="N5">
        <v>989</v>
      </c>
      <c r="O5" s="10"/>
      <c r="P5" t="s">
        <v>15</v>
      </c>
      <c r="Q5" t="s">
        <v>419</v>
      </c>
    </row>
    <row r="6" spans="1:22" x14ac:dyDescent="0.25">
      <c r="A6" s="10">
        <v>45328</v>
      </c>
      <c r="B6" t="s">
        <v>425</v>
      </c>
      <c r="C6" t="s">
        <v>190</v>
      </c>
      <c r="D6" t="s">
        <v>411</v>
      </c>
      <c r="E6">
        <v>904</v>
      </c>
      <c r="F6">
        <v>385</v>
      </c>
      <c r="G6">
        <v>862</v>
      </c>
      <c r="H6">
        <v>994</v>
      </c>
      <c r="I6">
        <v>69</v>
      </c>
      <c r="J6">
        <v>664</v>
      </c>
      <c r="K6">
        <v>403</v>
      </c>
      <c r="L6">
        <v>902</v>
      </c>
      <c r="M6">
        <v>793</v>
      </c>
      <c r="N6">
        <v>458</v>
      </c>
      <c r="S6" s="10"/>
    </row>
    <row r="7" spans="1:22" x14ac:dyDescent="0.25">
      <c r="A7" s="10">
        <v>45610</v>
      </c>
      <c r="B7" t="s">
        <v>426</v>
      </c>
      <c r="C7" t="s">
        <v>13</v>
      </c>
      <c r="D7" t="s">
        <v>588</v>
      </c>
      <c r="E7">
        <v>300</v>
      </c>
      <c r="F7">
        <v>607</v>
      </c>
      <c r="G7">
        <v>308</v>
      </c>
      <c r="H7">
        <v>932</v>
      </c>
      <c r="I7">
        <v>214</v>
      </c>
      <c r="J7">
        <v>975</v>
      </c>
      <c r="K7">
        <v>333</v>
      </c>
      <c r="L7">
        <v>172</v>
      </c>
      <c r="M7">
        <v>2</v>
      </c>
      <c r="N7">
        <v>748</v>
      </c>
      <c r="S7" s="10"/>
    </row>
    <row r="8" spans="1:22" x14ac:dyDescent="0.25">
      <c r="A8" s="10">
        <v>45303</v>
      </c>
      <c r="B8" t="s">
        <v>427</v>
      </c>
      <c r="C8" t="s">
        <v>12</v>
      </c>
      <c r="D8" t="s">
        <v>588</v>
      </c>
      <c r="E8">
        <v>681</v>
      </c>
      <c r="F8">
        <v>896</v>
      </c>
      <c r="G8">
        <v>867</v>
      </c>
      <c r="H8">
        <v>6</v>
      </c>
      <c r="I8">
        <v>168</v>
      </c>
      <c r="J8">
        <v>16</v>
      </c>
      <c r="K8">
        <v>300</v>
      </c>
      <c r="L8">
        <v>3</v>
      </c>
      <c r="M8">
        <v>51</v>
      </c>
      <c r="N8">
        <v>731</v>
      </c>
      <c r="S8" s="10"/>
    </row>
    <row r="9" spans="1:22" x14ac:dyDescent="0.25">
      <c r="A9" s="10">
        <v>45523</v>
      </c>
      <c r="B9" t="s">
        <v>428</v>
      </c>
      <c r="C9" t="s">
        <v>587</v>
      </c>
      <c r="D9" t="s">
        <v>419</v>
      </c>
      <c r="E9">
        <v>470</v>
      </c>
      <c r="F9">
        <v>399</v>
      </c>
      <c r="G9">
        <v>17</v>
      </c>
      <c r="H9">
        <v>224</v>
      </c>
      <c r="I9">
        <v>94</v>
      </c>
      <c r="J9">
        <v>232</v>
      </c>
      <c r="K9">
        <v>129</v>
      </c>
      <c r="L9">
        <v>307</v>
      </c>
      <c r="M9">
        <v>43</v>
      </c>
      <c r="N9">
        <v>630</v>
      </c>
      <c r="S9" s="10"/>
    </row>
    <row r="10" spans="1:22" x14ac:dyDescent="0.25">
      <c r="A10" s="10">
        <v>45300</v>
      </c>
      <c r="B10" t="s">
        <v>429</v>
      </c>
      <c r="C10" t="s">
        <v>190</v>
      </c>
      <c r="D10" t="s">
        <v>411</v>
      </c>
      <c r="E10">
        <v>997</v>
      </c>
      <c r="F10">
        <v>93</v>
      </c>
      <c r="G10">
        <v>48</v>
      </c>
      <c r="H10">
        <v>897</v>
      </c>
      <c r="I10">
        <v>597</v>
      </c>
      <c r="J10">
        <v>622</v>
      </c>
      <c r="K10">
        <v>390</v>
      </c>
      <c r="L10">
        <v>387</v>
      </c>
      <c r="M10">
        <v>90</v>
      </c>
      <c r="N10">
        <v>764</v>
      </c>
      <c r="Q10" t="s">
        <v>323</v>
      </c>
    </row>
    <row r="11" spans="1:22" x14ac:dyDescent="0.25">
      <c r="A11" s="10">
        <v>45461</v>
      </c>
      <c r="B11" t="s">
        <v>430</v>
      </c>
      <c r="C11" t="s">
        <v>12</v>
      </c>
      <c r="D11" t="s">
        <v>413</v>
      </c>
      <c r="E11">
        <v>890</v>
      </c>
      <c r="F11">
        <v>780</v>
      </c>
      <c r="G11">
        <v>438</v>
      </c>
      <c r="H11">
        <v>33</v>
      </c>
      <c r="I11">
        <v>785</v>
      </c>
      <c r="J11">
        <v>470</v>
      </c>
      <c r="K11">
        <v>117</v>
      </c>
      <c r="L11">
        <v>779</v>
      </c>
      <c r="M11">
        <v>834</v>
      </c>
      <c r="N11">
        <v>62</v>
      </c>
      <c r="Q11" s="10">
        <v>45419</v>
      </c>
    </row>
    <row r="12" spans="1:22" x14ac:dyDescent="0.25">
      <c r="A12" s="10">
        <v>45308</v>
      </c>
      <c r="B12" t="s">
        <v>431</v>
      </c>
      <c r="C12" t="s">
        <v>15</v>
      </c>
      <c r="D12" t="s">
        <v>588</v>
      </c>
      <c r="E12">
        <v>716</v>
      </c>
      <c r="F12">
        <v>727</v>
      </c>
      <c r="G12">
        <v>440</v>
      </c>
      <c r="H12">
        <v>821</v>
      </c>
      <c r="I12">
        <v>239</v>
      </c>
      <c r="J12">
        <v>760</v>
      </c>
      <c r="K12">
        <v>904</v>
      </c>
      <c r="L12">
        <v>395</v>
      </c>
      <c r="M12">
        <v>507</v>
      </c>
      <c r="N12">
        <v>493</v>
      </c>
      <c r="Q12" s="10">
        <v>45421</v>
      </c>
      <c r="V12" s="10"/>
    </row>
    <row r="13" spans="1:22" x14ac:dyDescent="0.25">
      <c r="A13" s="10">
        <v>45377</v>
      </c>
      <c r="B13" t="s">
        <v>432</v>
      </c>
      <c r="C13" t="s">
        <v>15</v>
      </c>
      <c r="D13" t="s">
        <v>413</v>
      </c>
      <c r="E13">
        <v>465</v>
      </c>
      <c r="F13">
        <v>134</v>
      </c>
      <c r="G13">
        <v>203</v>
      </c>
      <c r="H13">
        <v>517</v>
      </c>
      <c r="I13">
        <v>208</v>
      </c>
      <c r="J13">
        <v>689</v>
      </c>
      <c r="K13">
        <v>834</v>
      </c>
      <c r="L13">
        <v>833</v>
      </c>
      <c r="M13">
        <v>399</v>
      </c>
      <c r="N13">
        <v>192</v>
      </c>
      <c r="Q13" s="10">
        <v>45421</v>
      </c>
      <c r="V13" s="10"/>
    </row>
    <row r="14" spans="1:22" x14ac:dyDescent="0.25">
      <c r="A14" s="10">
        <v>45558</v>
      </c>
      <c r="B14" t="s">
        <v>433</v>
      </c>
      <c r="C14" t="s">
        <v>13</v>
      </c>
      <c r="D14" t="s">
        <v>193</v>
      </c>
      <c r="E14">
        <v>417</v>
      </c>
      <c r="F14">
        <v>447</v>
      </c>
      <c r="G14">
        <v>389</v>
      </c>
      <c r="H14">
        <v>174</v>
      </c>
      <c r="I14">
        <v>520</v>
      </c>
      <c r="J14">
        <v>263</v>
      </c>
      <c r="K14">
        <v>950</v>
      </c>
      <c r="L14">
        <v>186</v>
      </c>
      <c r="M14">
        <v>252</v>
      </c>
      <c r="N14">
        <v>411</v>
      </c>
      <c r="Q14" s="10">
        <v>45421</v>
      </c>
      <c r="V14" s="10"/>
    </row>
    <row r="15" spans="1:22" x14ac:dyDescent="0.25">
      <c r="A15" s="10">
        <v>45641</v>
      </c>
      <c r="B15" t="s">
        <v>434</v>
      </c>
      <c r="C15" t="s">
        <v>15</v>
      </c>
      <c r="D15" t="s">
        <v>414</v>
      </c>
      <c r="E15">
        <v>72</v>
      </c>
      <c r="F15">
        <v>428</v>
      </c>
      <c r="G15">
        <v>796</v>
      </c>
      <c r="H15">
        <v>639</v>
      </c>
      <c r="I15">
        <v>675</v>
      </c>
      <c r="J15">
        <v>183</v>
      </c>
      <c r="K15">
        <v>368</v>
      </c>
      <c r="L15">
        <v>692</v>
      </c>
      <c r="M15">
        <v>899</v>
      </c>
      <c r="N15">
        <v>955</v>
      </c>
      <c r="Q15" s="10">
        <v>45423</v>
      </c>
      <c r="V15" s="10"/>
    </row>
    <row r="16" spans="1:22" x14ac:dyDescent="0.25">
      <c r="A16" s="10">
        <v>45365</v>
      </c>
      <c r="B16" t="s">
        <v>435</v>
      </c>
      <c r="C16" t="s">
        <v>12</v>
      </c>
      <c r="D16" t="s">
        <v>193</v>
      </c>
      <c r="E16">
        <v>915</v>
      </c>
      <c r="F16">
        <v>490</v>
      </c>
      <c r="G16">
        <v>273</v>
      </c>
      <c r="H16">
        <v>744</v>
      </c>
      <c r="I16">
        <v>265</v>
      </c>
      <c r="J16">
        <v>454</v>
      </c>
      <c r="K16">
        <v>816</v>
      </c>
      <c r="L16">
        <v>747</v>
      </c>
      <c r="M16">
        <v>110</v>
      </c>
      <c r="N16">
        <v>923</v>
      </c>
      <c r="Q16" s="10">
        <v>45423</v>
      </c>
      <c r="V16" s="10"/>
    </row>
    <row r="17" spans="1:22" x14ac:dyDescent="0.25">
      <c r="A17" s="10">
        <v>45488</v>
      </c>
      <c r="B17" t="s">
        <v>436</v>
      </c>
      <c r="C17" t="s">
        <v>190</v>
      </c>
      <c r="D17" t="s">
        <v>419</v>
      </c>
      <c r="E17">
        <v>198</v>
      </c>
      <c r="F17">
        <v>805</v>
      </c>
      <c r="G17">
        <v>20</v>
      </c>
      <c r="H17">
        <v>84</v>
      </c>
      <c r="I17">
        <v>34</v>
      </c>
      <c r="J17">
        <v>482</v>
      </c>
      <c r="K17">
        <v>670</v>
      </c>
      <c r="L17">
        <v>758</v>
      </c>
      <c r="M17">
        <v>843</v>
      </c>
      <c r="N17">
        <v>376</v>
      </c>
      <c r="Q17" s="10">
        <v>45424</v>
      </c>
      <c r="V17" s="10"/>
    </row>
    <row r="18" spans="1:22" x14ac:dyDescent="0.25">
      <c r="A18" s="10">
        <v>45497</v>
      </c>
      <c r="B18" t="s">
        <v>437</v>
      </c>
      <c r="C18" t="s">
        <v>587</v>
      </c>
      <c r="D18" t="s">
        <v>411</v>
      </c>
      <c r="E18">
        <v>791</v>
      </c>
      <c r="F18">
        <v>472</v>
      </c>
      <c r="G18">
        <v>62</v>
      </c>
      <c r="H18">
        <v>692</v>
      </c>
      <c r="I18">
        <v>126</v>
      </c>
      <c r="J18">
        <v>484</v>
      </c>
      <c r="K18">
        <v>62</v>
      </c>
      <c r="L18">
        <v>51</v>
      </c>
      <c r="M18">
        <v>467</v>
      </c>
      <c r="N18">
        <v>946</v>
      </c>
      <c r="Q18" s="10">
        <v>45425</v>
      </c>
      <c r="V18" s="10"/>
    </row>
    <row r="19" spans="1:22" x14ac:dyDescent="0.25">
      <c r="A19" s="10">
        <v>45629</v>
      </c>
      <c r="B19" t="s">
        <v>438</v>
      </c>
      <c r="C19" t="s">
        <v>12</v>
      </c>
      <c r="D19" t="s">
        <v>414</v>
      </c>
      <c r="E19">
        <v>11</v>
      </c>
      <c r="F19">
        <v>31</v>
      </c>
      <c r="G19">
        <v>24</v>
      </c>
      <c r="H19">
        <v>622</v>
      </c>
      <c r="I19">
        <v>597</v>
      </c>
      <c r="J19">
        <v>400</v>
      </c>
      <c r="K19">
        <v>548</v>
      </c>
      <c r="L19">
        <v>534</v>
      </c>
      <c r="M19">
        <v>820</v>
      </c>
      <c r="N19">
        <v>379</v>
      </c>
      <c r="Q19" s="10">
        <v>45428</v>
      </c>
      <c r="V19" s="10"/>
    </row>
    <row r="20" spans="1:22" x14ac:dyDescent="0.25">
      <c r="A20" s="10">
        <v>45634</v>
      </c>
      <c r="B20" t="s">
        <v>439</v>
      </c>
      <c r="C20" t="s">
        <v>52</v>
      </c>
      <c r="D20" t="s">
        <v>419</v>
      </c>
      <c r="E20">
        <v>14</v>
      </c>
      <c r="F20">
        <v>91</v>
      </c>
      <c r="G20">
        <v>574</v>
      </c>
      <c r="H20">
        <v>779</v>
      </c>
      <c r="I20">
        <v>164</v>
      </c>
      <c r="J20">
        <v>448</v>
      </c>
      <c r="K20">
        <v>841</v>
      </c>
      <c r="L20">
        <v>167</v>
      </c>
      <c r="M20">
        <v>428</v>
      </c>
      <c r="N20">
        <v>15</v>
      </c>
      <c r="Q20" s="10">
        <v>45436</v>
      </c>
      <c r="V20" s="10"/>
    </row>
    <row r="21" spans="1:22" x14ac:dyDescent="0.25">
      <c r="A21" s="10">
        <v>45521</v>
      </c>
      <c r="B21" t="s">
        <v>440</v>
      </c>
      <c r="C21" t="s">
        <v>587</v>
      </c>
      <c r="D21" t="s">
        <v>193</v>
      </c>
      <c r="E21">
        <v>581</v>
      </c>
      <c r="F21">
        <v>386</v>
      </c>
      <c r="G21">
        <v>734</v>
      </c>
      <c r="H21">
        <v>129</v>
      </c>
      <c r="I21">
        <v>925</v>
      </c>
      <c r="J21">
        <v>458</v>
      </c>
      <c r="K21">
        <v>826</v>
      </c>
      <c r="L21">
        <v>572</v>
      </c>
      <c r="M21">
        <v>754</v>
      </c>
      <c r="N21">
        <v>815</v>
      </c>
      <c r="Q21" s="10">
        <v>45441</v>
      </c>
      <c r="V21" s="10"/>
    </row>
    <row r="22" spans="1:22" x14ac:dyDescent="0.25">
      <c r="A22" s="10">
        <v>45561</v>
      </c>
      <c r="B22" t="s">
        <v>441</v>
      </c>
      <c r="C22" t="s">
        <v>587</v>
      </c>
      <c r="D22" t="s">
        <v>588</v>
      </c>
      <c r="E22">
        <v>961</v>
      </c>
      <c r="F22">
        <v>892</v>
      </c>
      <c r="G22">
        <v>717</v>
      </c>
      <c r="H22">
        <v>276</v>
      </c>
      <c r="I22">
        <v>648</v>
      </c>
      <c r="J22">
        <v>519</v>
      </c>
      <c r="K22">
        <v>680</v>
      </c>
      <c r="L22">
        <v>809</v>
      </c>
      <c r="M22">
        <v>38</v>
      </c>
      <c r="N22">
        <v>947</v>
      </c>
      <c r="Q22" s="10">
        <v>45443</v>
      </c>
      <c r="V22" s="10"/>
    </row>
    <row r="23" spans="1:22" x14ac:dyDescent="0.25">
      <c r="A23" s="10">
        <v>45608</v>
      </c>
      <c r="B23" t="s">
        <v>442</v>
      </c>
      <c r="C23" t="s">
        <v>13</v>
      </c>
      <c r="D23" t="s">
        <v>411</v>
      </c>
      <c r="E23">
        <v>239</v>
      </c>
      <c r="F23">
        <v>766</v>
      </c>
      <c r="G23">
        <v>912</v>
      </c>
      <c r="H23">
        <v>413</v>
      </c>
      <c r="I23">
        <v>157</v>
      </c>
      <c r="J23">
        <v>975</v>
      </c>
      <c r="K23">
        <v>623</v>
      </c>
      <c r="L23">
        <v>501</v>
      </c>
      <c r="M23">
        <v>608</v>
      </c>
      <c r="N23">
        <v>846</v>
      </c>
      <c r="Q23" s="10">
        <v>45446</v>
      </c>
      <c r="V23" s="10"/>
    </row>
    <row r="24" spans="1:22" x14ac:dyDescent="0.25">
      <c r="A24" s="10">
        <v>45384</v>
      </c>
      <c r="B24" t="s">
        <v>443</v>
      </c>
      <c r="C24" t="s">
        <v>190</v>
      </c>
      <c r="D24" t="s">
        <v>411</v>
      </c>
      <c r="E24">
        <v>882</v>
      </c>
      <c r="F24">
        <v>673</v>
      </c>
      <c r="G24">
        <v>531</v>
      </c>
      <c r="H24">
        <v>223</v>
      </c>
      <c r="I24">
        <v>646</v>
      </c>
      <c r="J24">
        <v>961</v>
      </c>
      <c r="K24">
        <v>596</v>
      </c>
      <c r="L24">
        <v>921</v>
      </c>
      <c r="M24">
        <v>737</v>
      </c>
      <c r="N24">
        <v>463</v>
      </c>
      <c r="Q24" s="10">
        <v>45447</v>
      </c>
      <c r="V24" s="10"/>
    </row>
    <row r="25" spans="1:22" x14ac:dyDescent="0.25">
      <c r="A25" s="10">
        <v>45498</v>
      </c>
      <c r="B25" t="s">
        <v>444</v>
      </c>
      <c r="C25" t="s">
        <v>15</v>
      </c>
      <c r="D25" t="s">
        <v>193</v>
      </c>
      <c r="E25">
        <v>450</v>
      </c>
      <c r="F25">
        <v>290</v>
      </c>
      <c r="G25">
        <v>462</v>
      </c>
      <c r="H25">
        <v>127</v>
      </c>
      <c r="I25">
        <v>269</v>
      </c>
      <c r="J25">
        <v>770</v>
      </c>
      <c r="K25">
        <v>699</v>
      </c>
      <c r="L25">
        <v>649</v>
      </c>
      <c r="M25">
        <v>838</v>
      </c>
      <c r="N25">
        <v>228</v>
      </c>
      <c r="Q25" s="10">
        <v>45448</v>
      </c>
      <c r="V25" s="10"/>
    </row>
    <row r="26" spans="1:22" x14ac:dyDescent="0.25">
      <c r="A26" s="10">
        <v>45411</v>
      </c>
      <c r="B26" t="s">
        <v>445</v>
      </c>
      <c r="C26" t="s">
        <v>587</v>
      </c>
      <c r="D26" t="s">
        <v>411</v>
      </c>
      <c r="E26">
        <v>876</v>
      </c>
      <c r="F26">
        <v>770</v>
      </c>
      <c r="G26">
        <v>512</v>
      </c>
      <c r="H26">
        <v>287</v>
      </c>
      <c r="I26">
        <v>736</v>
      </c>
      <c r="J26">
        <v>90</v>
      </c>
      <c r="K26">
        <v>883</v>
      </c>
      <c r="L26">
        <v>355</v>
      </c>
      <c r="M26">
        <v>983</v>
      </c>
      <c r="N26">
        <v>114</v>
      </c>
      <c r="Q26" s="10">
        <v>45454</v>
      </c>
      <c r="V26" s="10"/>
    </row>
    <row r="27" spans="1:22" x14ac:dyDescent="0.25">
      <c r="A27" s="10">
        <v>45487</v>
      </c>
      <c r="B27" t="s">
        <v>446</v>
      </c>
      <c r="C27" t="s">
        <v>13</v>
      </c>
      <c r="D27" t="s">
        <v>411</v>
      </c>
      <c r="E27">
        <v>873</v>
      </c>
      <c r="F27">
        <v>67</v>
      </c>
      <c r="G27">
        <v>131</v>
      </c>
      <c r="H27">
        <v>543</v>
      </c>
      <c r="I27">
        <v>125</v>
      </c>
      <c r="J27">
        <v>529</v>
      </c>
      <c r="K27">
        <v>957</v>
      </c>
      <c r="L27">
        <v>260</v>
      </c>
      <c r="M27">
        <v>115</v>
      </c>
      <c r="N27">
        <v>934</v>
      </c>
      <c r="Q27" s="10">
        <v>45457</v>
      </c>
      <c r="V27" s="10"/>
    </row>
    <row r="28" spans="1:22" x14ac:dyDescent="0.25">
      <c r="A28" s="10">
        <v>45519</v>
      </c>
      <c r="B28" t="s">
        <v>447</v>
      </c>
      <c r="C28" t="s">
        <v>587</v>
      </c>
      <c r="D28" t="s">
        <v>414</v>
      </c>
      <c r="E28">
        <v>786</v>
      </c>
      <c r="F28">
        <v>842</v>
      </c>
      <c r="G28">
        <v>597</v>
      </c>
      <c r="H28">
        <v>920</v>
      </c>
      <c r="I28">
        <v>404</v>
      </c>
      <c r="J28">
        <v>227</v>
      </c>
      <c r="K28">
        <v>26</v>
      </c>
      <c r="L28">
        <v>639</v>
      </c>
      <c r="M28">
        <v>160</v>
      </c>
      <c r="N28">
        <v>138</v>
      </c>
      <c r="Q28" s="10">
        <v>45461</v>
      </c>
      <c r="V28" s="10"/>
    </row>
    <row r="29" spans="1:22" x14ac:dyDescent="0.25">
      <c r="A29" s="10">
        <v>45425</v>
      </c>
      <c r="B29" t="s">
        <v>448</v>
      </c>
      <c r="C29" t="s">
        <v>587</v>
      </c>
      <c r="D29" t="s">
        <v>588</v>
      </c>
      <c r="E29">
        <v>647</v>
      </c>
      <c r="F29">
        <v>842</v>
      </c>
      <c r="G29">
        <v>199</v>
      </c>
      <c r="H29">
        <v>368</v>
      </c>
      <c r="I29">
        <v>406</v>
      </c>
      <c r="J29">
        <v>353</v>
      </c>
      <c r="K29">
        <v>599</v>
      </c>
      <c r="L29">
        <v>96</v>
      </c>
      <c r="M29">
        <v>810</v>
      </c>
      <c r="N29">
        <v>94</v>
      </c>
      <c r="O29" s="10"/>
      <c r="Q29" s="10">
        <v>45461</v>
      </c>
      <c r="V29" s="10"/>
    </row>
    <row r="30" spans="1:22" x14ac:dyDescent="0.25">
      <c r="A30" s="10">
        <v>45366</v>
      </c>
      <c r="B30" t="s">
        <v>449</v>
      </c>
      <c r="C30" t="s">
        <v>12</v>
      </c>
      <c r="D30" t="s">
        <v>419</v>
      </c>
      <c r="E30">
        <v>747</v>
      </c>
      <c r="F30">
        <v>147</v>
      </c>
      <c r="G30">
        <v>264</v>
      </c>
      <c r="H30">
        <v>246</v>
      </c>
      <c r="I30">
        <v>13</v>
      </c>
      <c r="J30">
        <v>579</v>
      </c>
      <c r="K30">
        <v>791</v>
      </c>
      <c r="L30">
        <v>501</v>
      </c>
      <c r="M30">
        <v>752</v>
      </c>
      <c r="N30">
        <v>275</v>
      </c>
      <c r="O30" s="10"/>
      <c r="P30" s="10"/>
      <c r="V30" s="10"/>
    </row>
    <row r="31" spans="1:22" x14ac:dyDescent="0.25">
      <c r="A31" s="10">
        <v>45501</v>
      </c>
      <c r="B31" t="s">
        <v>450</v>
      </c>
      <c r="C31" t="s">
        <v>52</v>
      </c>
      <c r="D31" t="s">
        <v>193</v>
      </c>
      <c r="E31">
        <v>40</v>
      </c>
      <c r="F31">
        <v>740</v>
      </c>
      <c r="G31">
        <v>606</v>
      </c>
      <c r="H31">
        <v>22</v>
      </c>
      <c r="I31">
        <v>426</v>
      </c>
      <c r="J31">
        <v>228</v>
      </c>
      <c r="K31">
        <v>533</v>
      </c>
      <c r="L31">
        <v>551</v>
      </c>
      <c r="M31">
        <v>674</v>
      </c>
      <c r="N31">
        <v>642</v>
      </c>
      <c r="O31" s="10"/>
      <c r="P31" s="10"/>
      <c r="V31" s="10"/>
    </row>
    <row r="32" spans="1:22" x14ac:dyDescent="0.25">
      <c r="A32" s="10">
        <v>45588</v>
      </c>
      <c r="B32" t="s">
        <v>451</v>
      </c>
      <c r="C32" t="s">
        <v>12</v>
      </c>
      <c r="D32" t="s">
        <v>588</v>
      </c>
      <c r="E32">
        <v>395</v>
      </c>
      <c r="F32">
        <v>769</v>
      </c>
      <c r="G32">
        <v>465</v>
      </c>
      <c r="H32">
        <v>859</v>
      </c>
      <c r="I32">
        <v>33</v>
      </c>
      <c r="J32">
        <v>979</v>
      </c>
      <c r="K32">
        <v>951</v>
      </c>
      <c r="L32">
        <v>108</v>
      </c>
      <c r="M32">
        <v>744</v>
      </c>
      <c r="N32">
        <v>955</v>
      </c>
      <c r="O32" s="10"/>
      <c r="P32" s="10"/>
      <c r="V32" s="10"/>
    </row>
    <row r="33" spans="1:22" x14ac:dyDescent="0.25">
      <c r="A33" s="10">
        <v>45565</v>
      </c>
      <c r="B33" t="s">
        <v>452</v>
      </c>
      <c r="C33" t="s">
        <v>587</v>
      </c>
      <c r="D33" t="s">
        <v>193</v>
      </c>
      <c r="E33">
        <v>465</v>
      </c>
      <c r="F33">
        <v>155</v>
      </c>
      <c r="G33">
        <v>750</v>
      </c>
      <c r="H33">
        <v>416</v>
      </c>
      <c r="I33">
        <v>149</v>
      </c>
      <c r="J33">
        <v>933</v>
      </c>
      <c r="K33">
        <v>451</v>
      </c>
      <c r="L33">
        <v>95</v>
      </c>
      <c r="M33">
        <v>450</v>
      </c>
      <c r="N33">
        <v>787</v>
      </c>
      <c r="O33" s="10"/>
      <c r="P33" s="10"/>
      <c r="V33" s="10"/>
    </row>
    <row r="34" spans="1:22" x14ac:dyDescent="0.25">
      <c r="A34" s="10">
        <v>45616</v>
      </c>
      <c r="B34" t="s">
        <v>453</v>
      </c>
      <c r="C34" t="s">
        <v>12</v>
      </c>
      <c r="D34" t="s">
        <v>414</v>
      </c>
      <c r="E34">
        <v>651</v>
      </c>
      <c r="F34">
        <v>134</v>
      </c>
      <c r="G34">
        <v>599</v>
      </c>
      <c r="H34">
        <v>992</v>
      </c>
      <c r="I34">
        <v>748</v>
      </c>
      <c r="J34">
        <v>129</v>
      </c>
      <c r="K34">
        <v>78</v>
      </c>
      <c r="L34">
        <v>501</v>
      </c>
      <c r="M34">
        <v>682</v>
      </c>
      <c r="N34">
        <v>848</v>
      </c>
      <c r="O34" s="10"/>
      <c r="P34" s="10"/>
      <c r="V34" s="10"/>
    </row>
    <row r="35" spans="1:22" x14ac:dyDescent="0.25">
      <c r="A35" s="10">
        <v>45652</v>
      </c>
      <c r="B35" t="s">
        <v>454</v>
      </c>
      <c r="C35" t="s">
        <v>587</v>
      </c>
      <c r="D35" t="s">
        <v>413</v>
      </c>
      <c r="E35">
        <v>384</v>
      </c>
      <c r="F35">
        <v>489</v>
      </c>
      <c r="G35">
        <v>683</v>
      </c>
      <c r="H35">
        <v>976</v>
      </c>
      <c r="I35">
        <v>300</v>
      </c>
      <c r="J35">
        <v>712</v>
      </c>
      <c r="K35">
        <v>373</v>
      </c>
      <c r="L35">
        <v>834</v>
      </c>
      <c r="M35">
        <v>641</v>
      </c>
      <c r="N35">
        <v>158</v>
      </c>
      <c r="O35" s="10"/>
      <c r="P35" s="10"/>
      <c r="V35" s="10"/>
    </row>
    <row r="36" spans="1:22" x14ac:dyDescent="0.25">
      <c r="A36" s="10">
        <v>45558</v>
      </c>
      <c r="B36" t="s">
        <v>455</v>
      </c>
      <c r="C36" t="s">
        <v>12</v>
      </c>
      <c r="D36" t="s">
        <v>588</v>
      </c>
      <c r="E36">
        <v>197</v>
      </c>
      <c r="F36">
        <v>415</v>
      </c>
      <c r="G36">
        <v>111</v>
      </c>
      <c r="H36">
        <v>282</v>
      </c>
      <c r="I36">
        <v>4</v>
      </c>
      <c r="J36">
        <v>784</v>
      </c>
      <c r="K36">
        <v>482</v>
      </c>
      <c r="L36">
        <v>795</v>
      </c>
      <c r="M36">
        <v>609</v>
      </c>
      <c r="N36">
        <v>544</v>
      </c>
      <c r="O36" s="10"/>
      <c r="P36" s="10"/>
      <c r="V36" s="10"/>
    </row>
    <row r="37" spans="1:22" x14ac:dyDescent="0.25">
      <c r="A37" s="10">
        <v>45543</v>
      </c>
      <c r="B37" t="s">
        <v>456</v>
      </c>
      <c r="C37" t="s">
        <v>587</v>
      </c>
      <c r="D37" t="s">
        <v>414</v>
      </c>
      <c r="E37">
        <v>318</v>
      </c>
      <c r="F37">
        <v>618</v>
      </c>
      <c r="G37">
        <v>605</v>
      </c>
      <c r="H37">
        <v>158</v>
      </c>
      <c r="I37">
        <v>950</v>
      </c>
      <c r="J37">
        <v>511</v>
      </c>
      <c r="K37">
        <v>30</v>
      </c>
      <c r="L37">
        <v>359</v>
      </c>
      <c r="M37">
        <v>365</v>
      </c>
      <c r="N37">
        <v>805</v>
      </c>
      <c r="O37" s="10"/>
      <c r="P37" s="10"/>
      <c r="V37" s="10"/>
    </row>
    <row r="38" spans="1:22" x14ac:dyDescent="0.25">
      <c r="A38" s="10">
        <v>45308</v>
      </c>
      <c r="B38" t="s">
        <v>457</v>
      </c>
      <c r="C38" t="s">
        <v>13</v>
      </c>
      <c r="D38" t="s">
        <v>414</v>
      </c>
      <c r="E38">
        <v>532</v>
      </c>
      <c r="F38">
        <v>795</v>
      </c>
      <c r="G38">
        <v>180</v>
      </c>
      <c r="H38">
        <v>944</v>
      </c>
      <c r="I38">
        <v>579</v>
      </c>
      <c r="J38">
        <v>459</v>
      </c>
      <c r="K38">
        <v>177</v>
      </c>
      <c r="L38">
        <v>242</v>
      </c>
      <c r="M38">
        <v>484</v>
      </c>
      <c r="N38">
        <v>721</v>
      </c>
      <c r="O38" s="10"/>
      <c r="P38" s="10"/>
      <c r="V38" s="10"/>
    </row>
    <row r="39" spans="1:22" x14ac:dyDescent="0.25">
      <c r="A39" s="10">
        <v>45613</v>
      </c>
      <c r="B39" t="s">
        <v>458</v>
      </c>
      <c r="C39" t="s">
        <v>587</v>
      </c>
      <c r="D39" t="s">
        <v>419</v>
      </c>
      <c r="E39">
        <v>300</v>
      </c>
      <c r="F39">
        <v>604</v>
      </c>
      <c r="G39">
        <v>782</v>
      </c>
      <c r="H39">
        <v>813</v>
      </c>
      <c r="I39">
        <v>55</v>
      </c>
      <c r="J39">
        <v>10</v>
      </c>
      <c r="K39">
        <v>837</v>
      </c>
      <c r="L39">
        <v>563</v>
      </c>
      <c r="M39">
        <v>362</v>
      </c>
      <c r="N39">
        <v>872</v>
      </c>
      <c r="O39" s="10"/>
      <c r="P39" s="10"/>
      <c r="V39" s="10"/>
    </row>
    <row r="40" spans="1:22" x14ac:dyDescent="0.25">
      <c r="A40" s="10">
        <v>45415</v>
      </c>
      <c r="B40" t="s">
        <v>459</v>
      </c>
      <c r="C40" t="s">
        <v>52</v>
      </c>
      <c r="D40" t="s">
        <v>413</v>
      </c>
      <c r="E40">
        <v>609</v>
      </c>
      <c r="F40">
        <v>381</v>
      </c>
      <c r="G40">
        <v>791</v>
      </c>
      <c r="H40">
        <v>629</v>
      </c>
      <c r="I40">
        <v>143</v>
      </c>
      <c r="J40">
        <v>149</v>
      </c>
      <c r="K40">
        <v>787</v>
      </c>
      <c r="L40">
        <v>993</v>
      </c>
      <c r="M40">
        <v>912</v>
      </c>
      <c r="N40">
        <v>888</v>
      </c>
      <c r="O40" s="10"/>
      <c r="P40" s="10"/>
      <c r="V40" s="10"/>
    </row>
    <row r="41" spans="1:22" x14ac:dyDescent="0.25">
      <c r="A41" s="10">
        <v>45502</v>
      </c>
      <c r="B41" t="s">
        <v>460</v>
      </c>
      <c r="C41" t="s">
        <v>15</v>
      </c>
      <c r="D41" t="s">
        <v>413</v>
      </c>
      <c r="E41">
        <v>109</v>
      </c>
      <c r="F41">
        <v>681</v>
      </c>
      <c r="G41">
        <v>756</v>
      </c>
      <c r="H41">
        <v>595</v>
      </c>
      <c r="I41">
        <v>834</v>
      </c>
      <c r="J41">
        <v>29</v>
      </c>
      <c r="K41">
        <v>912</v>
      </c>
      <c r="L41">
        <v>109</v>
      </c>
      <c r="M41">
        <v>789</v>
      </c>
      <c r="N41">
        <v>102</v>
      </c>
      <c r="O41" s="10"/>
      <c r="P41" s="10"/>
      <c r="V41" s="10"/>
    </row>
    <row r="42" spans="1:22" x14ac:dyDescent="0.25">
      <c r="A42" s="10">
        <v>45464</v>
      </c>
      <c r="B42" t="s">
        <v>461</v>
      </c>
      <c r="C42" t="s">
        <v>13</v>
      </c>
      <c r="D42" t="s">
        <v>193</v>
      </c>
      <c r="E42">
        <v>544</v>
      </c>
      <c r="F42">
        <v>739</v>
      </c>
      <c r="G42">
        <v>352</v>
      </c>
      <c r="H42">
        <v>565</v>
      </c>
      <c r="I42">
        <v>699</v>
      </c>
      <c r="J42">
        <v>63</v>
      </c>
      <c r="K42">
        <v>962</v>
      </c>
      <c r="L42">
        <v>666</v>
      </c>
      <c r="M42">
        <v>150</v>
      </c>
      <c r="N42">
        <v>435</v>
      </c>
      <c r="O42" s="10"/>
      <c r="P42" s="10"/>
      <c r="V42" s="10"/>
    </row>
    <row r="43" spans="1:22" x14ac:dyDescent="0.25">
      <c r="A43" s="10">
        <v>45546</v>
      </c>
      <c r="B43" t="s">
        <v>462</v>
      </c>
      <c r="C43" t="s">
        <v>190</v>
      </c>
      <c r="D43" t="s">
        <v>588</v>
      </c>
      <c r="E43">
        <v>464</v>
      </c>
      <c r="F43">
        <v>728</v>
      </c>
      <c r="G43">
        <v>685</v>
      </c>
      <c r="H43">
        <v>877</v>
      </c>
      <c r="I43">
        <v>411</v>
      </c>
      <c r="J43">
        <v>267</v>
      </c>
      <c r="K43">
        <v>789</v>
      </c>
      <c r="L43">
        <v>782</v>
      </c>
      <c r="M43">
        <v>241</v>
      </c>
      <c r="N43">
        <v>285</v>
      </c>
      <c r="O43" s="10"/>
      <c r="P43" s="10"/>
      <c r="V43" s="10"/>
    </row>
    <row r="44" spans="1:22" x14ac:dyDescent="0.25">
      <c r="A44" s="10">
        <v>45320</v>
      </c>
      <c r="B44" t="s">
        <v>463</v>
      </c>
      <c r="C44" t="s">
        <v>12</v>
      </c>
      <c r="D44" t="s">
        <v>588</v>
      </c>
      <c r="E44">
        <v>111</v>
      </c>
      <c r="F44">
        <v>19</v>
      </c>
      <c r="G44">
        <v>276</v>
      </c>
      <c r="H44">
        <v>277</v>
      </c>
      <c r="I44">
        <v>363</v>
      </c>
      <c r="J44">
        <v>305</v>
      </c>
      <c r="K44">
        <v>863</v>
      </c>
      <c r="L44">
        <v>832</v>
      </c>
      <c r="M44">
        <v>676</v>
      </c>
      <c r="N44">
        <v>804</v>
      </c>
      <c r="O44" s="10"/>
      <c r="P44" s="10"/>
      <c r="V44" s="10"/>
    </row>
    <row r="45" spans="1:22" x14ac:dyDescent="0.25">
      <c r="A45" s="10">
        <v>45477</v>
      </c>
      <c r="B45" t="s">
        <v>464</v>
      </c>
      <c r="C45" t="s">
        <v>52</v>
      </c>
      <c r="D45" t="s">
        <v>193</v>
      </c>
      <c r="E45">
        <v>496</v>
      </c>
      <c r="F45">
        <v>893</v>
      </c>
      <c r="G45">
        <v>294</v>
      </c>
      <c r="H45">
        <v>178</v>
      </c>
      <c r="I45">
        <v>399</v>
      </c>
      <c r="J45">
        <v>407</v>
      </c>
      <c r="K45">
        <v>715</v>
      </c>
      <c r="L45">
        <v>310</v>
      </c>
      <c r="M45">
        <v>496</v>
      </c>
      <c r="N45">
        <v>673</v>
      </c>
      <c r="O45" s="10"/>
      <c r="P45" s="10"/>
      <c r="V45" s="10"/>
    </row>
    <row r="46" spans="1:22" x14ac:dyDescent="0.25">
      <c r="A46" s="10">
        <v>45628</v>
      </c>
      <c r="B46" t="s">
        <v>465</v>
      </c>
      <c r="C46" t="s">
        <v>52</v>
      </c>
      <c r="D46" t="s">
        <v>193</v>
      </c>
      <c r="E46">
        <v>73</v>
      </c>
      <c r="F46">
        <v>58</v>
      </c>
      <c r="G46">
        <v>818</v>
      </c>
      <c r="H46">
        <v>230</v>
      </c>
      <c r="I46">
        <v>552</v>
      </c>
      <c r="J46">
        <v>292</v>
      </c>
      <c r="K46">
        <v>728</v>
      </c>
      <c r="L46">
        <v>88</v>
      </c>
      <c r="M46">
        <v>411</v>
      </c>
      <c r="N46">
        <v>101</v>
      </c>
      <c r="O46" s="10"/>
      <c r="P46" s="10"/>
      <c r="V46" s="10"/>
    </row>
    <row r="47" spans="1:22" x14ac:dyDescent="0.25">
      <c r="A47" s="10">
        <v>45304</v>
      </c>
      <c r="B47" t="s">
        <v>466</v>
      </c>
      <c r="C47" t="s">
        <v>12</v>
      </c>
      <c r="D47" t="s">
        <v>193</v>
      </c>
      <c r="E47">
        <v>574</v>
      </c>
      <c r="F47">
        <v>269</v>
      </c>
      <c r="G47">
        <v>230</v>
      </c>
      <c r="H47">
        <v>775</v>
      </c>
      <c r="I47">
        <v>772</v>
      </c>
      <c r="J47">
        <v>564</v>
      </c>
      <c r="K47">
        <v>673</v>
      </c>
      <c r="L47">
        <v>615</v>
      </c>
      <c r="M47">
        <v>37</v>
      </c>
      <c r="N47">
        <v>779</v>
      </c>
      <c r="O47" s="10"/>
      <c r="P47" s="10"/>
      <c r="V47" s="10"/>
    </row>
    <row r="48" spans="1:22" x14ac:dyDescent="0.25">
      <c r="A48" s="10">
        <v>45511</v>
      </c>
      <c r="B48" t="s">
        <v>467</v>
      </c>
      <c r="C48" t="s">
        <v>587</v>
      </c>
      <c r="D48" t="s">
        <v>193</v>
      </c>
      <c r="E48">
        <v>746</v>
      </c>
      <c r="F48">
        <v>276</v>
      </c>
      <c r="G48">
        <v>435</v>
      </c>
      <c r="H48">
        <v>305</v>
      </c>
      <c r="I48">
        <v>152</v>
      </c>
      <c r="J48">
        <v>51</v>
      </c>
      <c r="K48">
        <v>259</v>
      </c>
      <c r="L48">
        <v>759</v>
      </c>
      <c r="M48">
        <v>77</v>
      </c>
      <c r="N48">
        <v>437</v>
      </c>
      <c r="P48" s="10"/>
      <c r="V48" s="10"/>
    </row>
    <row r="49" spans="1:22" x14ac:dyDescent="0.25">
      <c r="A49" s="10">
        <v>45436</v>
      </c>
      <c r="B49" t="s">
        <v>468</v>
      </c>
      <c r="C49" t="s">
        <v>15</v>
      </c>
      <c r="D49" t="s">
        <v>413</v>
      </c>
      <c r="E49">
        <v>330</v>
      </c>
      <c r="F49">
        <v>580</v>
      </c>
      <c r="G49">
        <v>469</v>
      </c>
      <c r="H49">
        <v>90</v>
      </c>
      <c r="I49">
        <v>826</v>
      </c>
      <c r="J49">
        <v>241</v>
      </c>
      <c r="K49">
        <v>341</v>
      </c>
      <c r="L49">
        <v>235</v>
      </c>
      <c r="M49">
        <v>488</v>
      </c>
      <c r="N49">
        <v>110</v>
      </c>
      <c r="V49" s="10"/>
    </row>
    <row r="50" spans="1:22" x14ac:dyDescent="0.25">
      <c r="A50" s="10">
        <v>45356</v>
      </c>
      <c r="B50" t="s">
        <v>469</v>
      </c>
      <c r="C50" t="s">
        <v>15</v>
      </c>
      <c r="D50" t="s">
        <v>419</v>
      </c>
      <c r="E50">
        <v>166</v>
      </c>
      <c r="F50">
        <v>891</v>
      </c>
      <c r="G50">
        <v>910</v>
      </c>
      <c r="H50">
        <v>495</v>
      </c>
      <c r="I50">
        <v>423</v>
      </c>
      <c r="J50">
        <v>712</v>
      </c>
      <c r="K50">
        <v>713</v>
      </c>
      <c r="L50">
        <v>678</v>
      </c>
      <c r="M50">
        <v>82</v>
      </c>
      <c r="N50">
        <v>16</v>
      </c>
      <c r="V50" s="10"/>
    </row>
    <row r="51" spans="1:22" x14ac:dyDescent="0.25">
      <c r="A51" s="10">
        <v>45294</v>
      </c>
      <c r="B51" t="s">
        <v>470</v>
      </c>
      <c r="C51" t="s">
        <v>13</v>
      </c>
      <c r="D51" t="s">
        <v>588</v>
      </c>
      <c r="E51">
        <v>478</v>
      </c>
      <c r="F51">
        <v>555</v>
      </c>
      <c r="G51">
        <v>963</v>
      </c>
      <c r="H51">
        <v>379</v>
      </c>
      <c r="I51">
        <v>285</v>
      </c>
      <c r="J51">
        <v>733</v>
      </c>
      <c r="K51">
        <v>434</v>
      </c>
      <c r="L51">
        <v>327</v>
      </c>
      <c r="M51">
        <v>403</v>
      </c>
      <c r="N51">
        <v>294</v>
      </c>
      <c r="V51" s="10"/>
    </row>
    <row r="52" spans="1:22" x14ac:dyDescent="0.25">
      <c r="A52" s="10">
        <v>45533</v>
      </c>
      <c r="B52" t="s">
        <v>471</v>
      </c>
      <c r="C52" t="s">
        <v>587</v>
      </c>
      <c r="D52" t="s">
        <v>419</v>
      </c>
      <c r="E52">
        <v>866</v>
      </c>
      <c r="F52">
        <v>928</v>
      </c>
      <c r="G52">
        <v>603</v>
      </c>
      <c r="H52">
        <v>456</v>
      </c>
      <c r="I52">
        <v>188</v>
      </c>
      <c r="J52">
        <v>686</v>
      </c>
      <c r="K52">
        <v>273</v>
      </c>
      <c r="L52">
        <v>691</v>
      </c>
      <c r="M52">
        <v>585</v>
      </c>
      <c r="N52">
        <v>4</v>
      </c>
      <c r="V52" s="10"/>
    </row>
    <row r="53" spans="1:22" x14ac:dyDescent="0.25">
      <c r="A53" s="10">
        <v>45505</v>
      </c>
      <c r="B53" t="s">
        <v>472</v>
      </c>
      <c r="C53" t="s">
        <v>190</v>
      </c>
      <c r="D53" t="s">
        <v>193</v>
      </c>
      <c r="E53">
        <v>521</v>
      </c>
      <c r="F53">
        <v>983</v>
      </c>
      <c r="G53">
        <v>641</v>
      </c>
      <c r="H53">
        <v>646</v>
      </c>
      <c r="I53">
        <v>323</v>
      </c>
      <c r="J53">
        <v>505</v>
      </c>
      <c r="K53">
        <v>35</v>
      </c>
      <c r="L53">
        <v>577</v>
      </c>
      <c r="M53">
        <v>842</v>
      </c>
      <c r="N53">
        <v>73</v>
      </c>
      <c r="V53" s="10"/>
    </row>
    <row r="54" spans="1:22" x14ac:dyDescent="0.25">
      <c r="A54" s="10">
        <v>45396</v>
      </c>
      <c r="B54" t="s">
        <v>473</v>
      </c>
      <c r="C54" t="s">
        <v>12</v>
      </c>
      <c r="D54" t="s">
        <v>414</v>
      </c>
      <c r="E54">
        <v>643</v>
      </c>
      <c r="F54">
        <v>108</v>
      </c>
      <c r="G54">
        <v>477</v>
      </c>
      <c r="H54">
        <v>879</v>
      </c>
      <c r="I54">
        <v>857</v>
      </c>
      <c r="J54">
        <v>962</v>
      </c>
      <c r="K54">
        <v>430</v>
      </c>
      <c r="L54">
        <v>322</v>
      </c>
      <c r="M54">
        <v>818</v>
      </c>
      <c r="N54">
        <v>718</v>
      </c>
      <c r="V54" s="10"/>
    </row>
    <row r="55" spans="1:22" x14ac:dyDescent="0.25">
      <c r="A55" s="10">
        <v>45498</v>
      </c>
      <c r="B55" t="s">
        <v>474</v>
      </c>
      <c r="C55" t="s">
        <v>15</v>
      </c>
      <c r="D55" t="s">
        <v>419</v>
      </c>
      <c r="E55">
        <v>213</v>
      </c>
      <c r="F55">
        <v>200</v>
      </c>
      <c r="G55">
        <v>431</v>
      </c>
      <c r="H55">
        <v>736</v>
      </c>
      <c r="I55">
        <v>354</v>
      </c>
      <c r="J55">
        <v>767</v>
      </c>
      <c r="K55">
        <v>185</v>
      </c>
      <c r="L55">
        <v>866</v>
      </c>
      <c r="M55">
        <v>285</v>
      </c>
      <c r="N55">
        <v>53</v>
      </c>
      <c r="V55" s="10"/>
    </row>
    <row r="56" spans="1:22" x14ac:dyDescent="0.25">
      <c r="A56" s="10">
        <v>45454</v>
      </c>
      <c r="B56" t="s">
        <v>475</v>
      </c>
      <c r="C56" t="s">
        <v>15</v>
      </c>
      <c r="D56" t="s">
        <v>588</v>
      </c>
      <c r="E56">
        <v>788</v>
      </c>
      <c r="F56">
        <v>736</v>
      </c>
      <c r="G56">
        <v>722</v>
      </c>
      <c r="H56">
        <v>319</v>
      </c>
      <c r="I56">
        <v>784</v>
      </c>
      <c r="J56">
        <v>784</v>
      </c>
      <c r="K56">
        <v>404</v>
      </c>
      <c r="L56">
        <v>569</v>
      </c>
      <c r="M56">
        <v>10</v>
      </c>
      <c r="N56">
        <v>94</v>
      </c>
      <c r="V56" s="10"/>
    </row>
    <row r="57" spans="1:22" x14ac:dyDescent="0.25">
      <c r="A57" s="10">
        <v>45417</v>
      </c>
      <c r="B57" t="s">
        <v>476</v>
      </c>
      <c r="C57" t="s">
        <v>12</v>
      </c>
      <c r="D57" t="s">
        <v>419</v>
      </c>
      <c r="E57">
        <v>809</v>
      </c>
      <c r="F57">
        <v>261</v>
      </c>
      <c r="G57">
        <v>248</v>
      </c>
      <c r="H57">
        <v>486</v>
      </c>
      <c r="I57">
        <v>949</v>
      </c>
      <c r="J57">
        <v>10</v>
      </c>
      <c r="K57">
        <v>187</v>
      </c>
      <c r="L57">
        <v>584</v>
      </c>
      <c r="M57">
        <v>676</v>
      </c>
      <c r="N57">
        <v>208</v>
      </c>
      <c r="V57" s="10"/>
    </row>
    <row r="58" spans="1:22" x14ac:dyDescent="0.25">
      <c r="A58" s="10">
        <v>45443</v>
      </c>
      <c r="B58" t="s">
        <v>477</v>
      </c>
      <c r="C58" t="s">
        <v>12</v>
      </c>
      <c r="D58" t="s">
        <v>193</v>
      </c>
      <c r="E58">
        <v>994</v>
      </c>
      <c r="F58">
        <v>29</v>
      </c>
      <c r="G58">
        <v>288</v>
      </c>
      <c r="H58">
        <v>395</v>
      </c>
      <c r="I58">
        <v>110</v>
      </c>
      <c r="J58">
        <v>793</v>
      </c>
      <c r="K58">
        <v>240</v>
      </c>
      <c r="L58">
        <v>882</v>
      </c>
      <c r="M58">
        <v>716</v>
      </c>
      <c r="N58">
        <v>38</v>
      </c>
      <c r="P58" s="10"/>
      <c r="V58" s="10"/>
    </row>
    <row r="59" spans="1:22" x14ac:dyDescent="0.25">
      <c r="A59" s="10">
        <v>45566</v>
      </c>
      <c r="B59" t="s">
        <v>478</v>
      </c>
      <c r="C59" t="s">
        <v>190</v>
      </c>
      <c r="D59" t="s">
        <v>413</v>
      </c>
      <c r="E59">
        <v>766</v>
      </c>
      <c r="F59">
        <v>382</v>
      </c>
      <c r="G59">
        <v>975</v>
      </c>
      <c r="H59">
        <v>274</v>
      </c>
      <c r="I59">
        <v>255</v>
      </c>
      <c r="J59">
        <v>998</v>
      </c>
      <c r="K59">
        <v>263</v>
      </c>
      <c r="L59">
        <v>232</v>
      </c>
      <c r="M59">
        <v>824</v>
      </c>
      <c r="N59">
        <v>175</v>
      </c>
      <c r="P59" s="10"/>
      <c r="V59" s="10"/>
    </row>
    <row r="60" spans="1:22" x14ac:dyDescent="0.25">
      <c r="A60" s="10">
        <v>45457</v>
      </c>
      <c r="B60" t="s">
        <v>479</v>
      </c>
      <c r="C60" t="s">
        <v>15</v>
      </c>
      <c r="D60" t="s">
        <v>419</v>
      </c>
      <c r="E60">
        <v>62</v>
      </c>
      <c r="F60">
        <v>66</v>
      </c>
      <c r="G60">
        <v>332</v>
      </c>
      <c r="H60">
        <v>53</v>
      </c>
      <c r="I60">
        <v>297</v>
      </c>
      <c r="J60">
        <v>621</v>
      </c>
      <c r="K60">
        <v>72</v>
      </c>
      <c r="L60">
        <v>159</v>
      </c>
      <c r="M60">
        <v>58</v>
      </c>
      <c r="N60">
        <v>222</v>
      </c>
      <c r="P60" s="10"/>
      <c r="V60" s="10"/>
    </row>
    <row r="61" spans="1:22" x14ac:dyDescent="0.25">
      <c r="A61" s="10">
        <v>45589</v>
      </c>
      <c r="B61" t="s">
        <v>480</v>
      </c>
      <c r="C61" t="s">
        <v>190</v>
      </c>
      <c r="D61" t="s">
        <v>419</v>
      </c>
      <c r="E61">
        <v>181</v>
      </c>
      <c r="F61">
        <v>105</v>
      </c>
      <c r="G61">
        <v>679</v>
      </c>
      <c r="H61">
        <v>47</v>
      </c>
      <c r="I61">
        <v>566</v>
      </c>
      <c r="J61">
        <v>780</v>
      </c>
      <c r="K61">
        <v>304</v>
      </c>
      <c r="L61">
        <v>51</v>
      </c>
      <c r="M61">
        <v>703</v>
      </c>
      <c r="N61">
        <v>320</v>
      </c>
      <c r="P61" s="10"/>
      <c r="V61" s="10"/>
    </row>
    <row r="62" spans="1:22" x14ac:dyDescent="0.25">
      <c r="A62" s="10">
        <v>45406</v>
      </c>
      <c r="B62" t="s">
        <v>481</v>
      </c>
      <c r="C62" t="s">
        <v>190</v>
      </c>
      <c r="D62" t="s">
        <v>413</v>
      </c>
      <c r="E62">
        <v>464</v>
      </c>
      <c r="F62">
        <v>658</v>
      </c>
      <c r="G62">
        <v>960</v>
      </c>
      <c r="H62">
        <v>567</v>
      </c>
      <c r="I62">
        <v>3</v>
      </c>
      <c r="J62">
        <v>2</v>
      </c>
      <c r="K62">
        <v>932</v>
      </c>
      <c r="L62">
        <v>766</v>
      </c>
      <c r="M62">
        <v>645</v>
      </c>
      <c r="N62">
        <v>817</v>
      </c>
      <c r="P62" s="10"/>
      <c r="V62" s="10"/>
    </row>
    <row r="63" spans="1:22" x14ac:dyDescent="0.25">
      <c r="A63" s="10">
        <v>45363</v>
      </c>
      <c r="B63" t="s">
        <v>482</v>
      </c>
      <c r="C63" t="s">
        <v>12</v>
      </c>
      <c r="D63" t="s">
        <v>419</v>
      </c>
      <c r="E63">
        <v>67</v>
      </c>
      <c r="F63">
        <v>836</v>
      </c>
      <c r="G63">
        <v>167</v>
      </c>
      <c r="H63">
        <v>138</v>
      </c>
      <c r="I63">
        <v>904</v>
      </c>
      <c r="J63">
        <v>693</v>
      </c>
      <c r="K63">
        <v>809</v>
      </c>
      <c r="L63">
        <v>125</v>
      </c>
      <c r="M63">
        <v>397</v>
      </c>
      <c r="N63">
        <v>569</v>
      </c>
      <c r="P63" s="10"/>
      <c r="V63" s="10"/>
    </row>
    <row r="64" spans="1:22" x14ac:dyDescent="0.25">
      <c r="A64" s="10">
        <v>45601</v>
      </c>
      <c r="B64" t="s">
        <v>483</v>
      </c>
      <c r="C64" t="s">
        <v>190</v>
      </c>
      <c r="D64" t="s">
        <v>588</v>
      </c>
      <c r="E64">
        <v>305</v>
      </c>
      <c r="F64">
        <v>306</v>
      </c>
      <c r="G64">
        <v>565</v>
      </c>
      <c r="H64">
        <v>954</v>
      </c>
      <c r="I64">
        <v>813</v>
      </c>
      <c r="J64">
        <v>165</v>
      </c>
      <c r="K64">
        <v>479</v>
      </c>
      <c r="L64">
        <v>757</v>
      </c>
      <c r="M64">
        <v>622</v>
      </c>
      <c r="N64">
        <v>803</v>
      </c>
      <c r="P64" s="10"/>
      <c r="V64" s="10"/>
    </row>
    <row r="65" spans="1:22" x14ac:dyDescent="0.25">
      <c r="A65" s="10">
        <v>45423</v>
      </c>
      <c r="B65" t="s">
        <v>484</v>
      </c>
      <c r="C65" t="s">
        <v>15</v>
      </c>
      <c r="D65" t="s">
        <v>411</v>
      </c>
      <c r="E65">
        <v>207</v>
      </c>
      <c r="F65">
        <v>797</v>
      </c>
      <c r="G65">
        <v>330</v>
      </c>
      <c r="H65">
        <v>902</v>
      </c>
      <c r="I65">
        <v>995</v>
      </c>
      <c r="J65">
        <v>753</v>
      </c>
      <c r="K65">
        <v>246</v>
      </c>
      <c r="L65">
        <v>87</v>
      </c>
      <c r="M65">
        <v>653</v>
      </c>
      <c r="N65">
        <v>458</v>
      </c>
      <c r="P65" s="10"/>
      <c r="V65" s="10"/>
    </row>
    <row r="66" spans="1:22" x14ac:dyDescent="0.25">
      <c r="A66" s="10">
        <v>45466</v>
      </c>
      <c r="B66" t="s">
        <v>485</v>
      </c>
      <c r="C66" t="s">
        <v>52</v>
      </c>
      <c r="D66" t="s">
        <v>411</v>
      </c>
      <c r="E66">
        <v>426</v>
      </c>
      <c r="F66">
        <v>175</v>
      </c>
      <c r="G66">
        <v>427</v>
      </c>
      <c r="H66">
        <v>994</v>
      </c>
      <c r="I66">
        <v>839</v>
      </c>
      <c r="J66">
        <v>495</v>
      </c>
      <c r="K66">
        <v>349</v>
      </c>
      <c r="L66">
        <v>512</v>
      </c>
      <c r="M66">
        <v>734</v>
      </c>
      <c r="N66">
        <v>734</v>
      </c>
      <c r="P66" s="10"/>
      <c r="V66" s="10"/>
    </row>
    <row r="67" spans="1:22" x14ac:dyDescent="0.25">
      <c r="A67" s="10">
        <v>45448</v>
      </c>
      <c r="B67" t="s">
        <v>486</v>
      </c>
      <c r="C67" t="s">
        <v>12</v>
      </c>
      <c r="D67" t="s">
        <v>414</v>
      </c>
      <c r="E67">
        <v>915</v>
      </c>
      <c r="F67">
        <v>132</v>
      </c>
      <c r="G67">
        <v>260</v>
      </c>
      <c r="H67">
        <v>522</v>
      </c>
      <c r="I67">
        <v>492</v>
      </c>
      <c r="J67">
        <v>765</v>
      </c>
      <c r="K67">
        <v>737</v>
      </c>
      <c r="L67">
        <v>378</v>
      </c>
      <c r="M67">
        <v>894</v>
      </c>
      <c r="N67">
        <v>602</v>
      </c>
      <c r="P67" s="10"/>
      <c r="V67" s="10"/>
    </row>
    <row r="68" spans="1:22" x14ac:dyDescent="0.25">
      <c r="A68" s="10">
        <v>45349</v>
      </c>
      <c r="B68" t="s">
        <v>487</v>
      </c>
      <c r="C68" t="s">
        <v>190</v>
      </c>
      <c r="D68" t="s">
        <v>413</v>
      </c>
      <c r="E68">
        <v>53</v>
      </c>
      <c r="F68">
        <v>102</v>
      </c>
      <c r="G68">
        <v>72</v>
      </c>
      <c r="H68">
        <v>818</v>
      </c>
      <c r="I68">
        <v>747</v>
      </c>
      <c r="J68">
        <v>726</v>
      </c>
      <c r="K68">
        <v>69</v>
      </c>
      <c r="L68">
        <v>328</v>
      </c>
      <c r="M68">
        <v>998</v>
      </c>
      <c r="N68">
        <v>818</v>
      </c>
      <c r="P68" s="10"/>
      <c r="V68" s="10"/>
    </row>
    <row r="69" spans="1:22" x14ac:dyDescent="0.25">
      <c r="A69" s="10">
        <v>45465</v>
      </c>
      <c r="B69" t="s">
        <v>488</v>
      </c>
      <c r="C69" t="s">
        <v>587</v>
      </c>
      <c r="D69" t="s">
        <v>588</v>
      </c>
      <c r="E69">
        <v>473</v>
      </c>
      <c r="F69">
        <v>155</v>
      </c>
      <c r="G69">
        <v>118</v>
      </c>
      <c r="H69">
        <v>898</v>
      </c>
      <c r="I69">
        <v>760</v>
      </c>
      <c r="J69">
        <v>555</v>
      </c>
      <c r="K69">
        <v>43</v>
      </c>
      <c r="L69">
        <v>373</v>
      </c>
      <c r="M69">
        <v>184</v>
      </c>
      <c r="N69">
        <v>663</v>
      </c>
      <c r="P69" s="10"/>
      <c r="V69" s="10"/>
    </row>
    <row r="70" spans="1:22" x14ac:dyDescent="0.25">
      <c r="A70" s="10">
        <v>45315</v>
      </c>
      <c r="B70" t="s">
        <v>489</v>
      </c>
      <c r="C70" t="s">
        <v>15</v>
      </c>
      <c r="D70" t="s">
        <v>411</v>
      </c>
      <c r="E70">
        <v>171</v>
      </c>
      <c r="F70">
        <v>519</v>
      </c>
      <c r="G70">
        <v>941</v>
      </c>
      <c r="H70">
        <v>232</v>
      </c>
      <c r="I70">
        <v>710</v>
      </c>
      <c r="J70">
        <v>844</v>
      </c>
      <c r="K70">
        <v>492</v>
      </c>
      <c r="L70">
        <v>408</v>
      </c>
      <c r="M70">
        <v>462</v>
      </c>
      <c r="N70">
        <v>312</v>
      </c>
      <c r="P70" s="10"/>
      <c r="V70" s="10"/>
    </row>
    <row r="71" spans="1:22" x14ac:dyDescent="0.25">
      <c r="A71" s="10">
        <v>45424</v>
      </c>
      <c r="B71" t="s">
        <v>490</v>
      </c>
      <c r="C71" t="s">
        <v>12</v>
      </c>
      <c r="D71" t="s">
        <v>413</v>
      </c>
      <c r="E71">
        <v>106</v>
      </c>
      <c r="F71">
        <v>725</v>
      </c>
      <c r="G71">
        <v>990</v>
      </c>
      <c r="H71">
        <v>924</v>
      </c>
      <c r="I71">
        <v>864</v>
      </c>
      <c r="J71">
        <v>620</v>
      </c>
      <c r="K71">
        <v>918</v>
      </c>
      <c r="L71">
        <v>24</v>
      </c>
      <c r="M71">
        <v>64</v>
      </c>
      <c r="N71">
        <v>826</v>
      </c>
      <c r="P71" s="10"/>
      <c r="V71" s="10"/>
    </row>
    <row r="72" spans="1:22" x14ac:dyDescent="0.25">
      <c r="A72" s="10">
        <v>45630</v>
      </c>
      <c r="B72" t="s">
        <v>491</v>
      </c>
      <c r="C72" t="s">
        <v>13</v>
      </c>
      <c r="D72" t="s">
        <v>411</v>
      </c>
      <c r="E72">
        <v>188</v>
      </c>
      <c r="F72">
        <v>43</v>
      </c>
      <c r="G72">
        <v>605</v>
      </c>
      <c r="H72">
        <v>687</v>
      </c>
      <c r="I72">
        <v>881</v>
      </c>
      <c r="J72">
        <v>541</v>
      </c>
      <c r="K72">
        <v>102</v>
      </c>
      <c r="L72">
        <v>744</v>
      </c>
      <c r="M72">
        <v>273</v>
      </c>
      <c r="N72">
        <v>126</v>
      </c>
      <c r="P72" s="10"/>
      <c r="V72" s="10"/>
    </row>
    <row r="73" spans="1:22" x14ac:dyDescent="0.25">
      <c r="A73" s="10">
        <v>45537</v>
      </c>
      <c r="B73" t="s">
        <v>492</v>
      </c>
      <c r="C73" t="s">
        <v>13</v>
      </c>
      <c r="D73" t="s">
        <v>411</v>
      </c>
      <c r="E73">
        <v>17</v>
      </c>
      <c r="F73">
        <v>761</v>
      </c>
      <c r="G73">
        <v>994</v>
      </c>
      <c r="H73">
        <v>645</v>
      </c>
      <c r="I73">
        <v>297</v>
      </c>
      <c r="J73">
        <v>725</v>
      </c>
      <c r="K73">
        <v>247</v>
      </c>
      <c r="L73">
        <v>357</v>
      </c>
      <c r="M73">
        <v>699</v>
      </c>
      <c r="N73">
        <v>122</v>
      </c>
      <c r="P73" s="10"/>
      <c r="V73" s="10"/>
    </row>
    <row r="74" spans="1:22" x14ac:dyDescent="0.25">
      <c r="A74" s="10">
        <v>45312</v>
      </c>
      <c r="B74" t="s">
        <v>493</v>
      </c>
      <c r="C74" t="s">
        <v>12</v>
      </c>
      <c r="D74" t="s">
        <v>414</v>
      </c>
      <c r="E74">
        <v>928</v>
      </c>
      <c r="F74">
        <v>311</v>
      </c>
      <c r="G74">
        <v>951</v>
      </c>
      <c r="H74">
        <v>603</v>
      </c>
      <c r="I74">
        <v>885</v>
      </c>
      <c r="J74">
        <v>777</v>
      </c>
      <c r="K74">
        <v>419</v>
      </c>
      <c r="L74">
        <v>820</v>
      </c>
      <c r="M74">
        <v>608</v>
      </c>
      <c r="N74">
        <v>884</v>
      </c>
      <c r="P74" s="10"/>
      <c r="V74" s="10"/>
    </row>
    <row r="75" spans="1:22" x14ac:dyDescent="0.25">
      <c r="A75" s="10">
        <v>45552</v>
      </c>
      <c r="B75" t="s">
        <v>494</v>
      </c>
      <c r="C75" t="s">
        <v>190</v>
      </c>
      <c r="D75" t="s">
        <v>413</v>
      </c>
      <c r="E75">
        <v>814</v>
      </c>
      <c r="F75">
        <v>405</v>
      </c>
      <c r="G75">
        <v>289</v>
      </c>
      <c r="H75">
        <v>295</v>
      </c>
      <c r="I75">
        <v>740</v>
      </c>
      <c r="J75">
        <v>325</v>
      </c>
      <c r="K75">
        <v>764</v>
      </c>
      <c r="L75">
        <v>628</v>
      </c>
      <c r="M75">
        <v>379</v>
      </c>
      <c r="N75">
        <v>587</v>
      </c>
      <c r="P75" s="10"/>
      <c r="V75" s="10"/>
    </row>
    <row r="76" spans="1:22" x14ac:dyDescent="0.25">
      <c r="A76" s="10">
        <v>45487</v>
      </c>
      <c r="B76" t="s">
        <v>495</v>
      </c>
      <c r="C76" t="s">
        <v>13</v>
      </c>
      <c r="D76" t="s">
        <v>411</v>
      </c>
      <c r="E76">
        <v>893</v>
      </c>
      <c r="F76">
        <v>283</v>
      </c>
      <c r="G76">
        <v>335</v>
      </c>
      <c r="H76">
        <v>170</v>
      </c>
      <c r="I76">
        <v>676</v>
      </c>
      <c r="J76">
        <v>776</v>
      </c>
      <c r="K76">
        <v>403</v>
      </c>
      <c r="L76">
        <v>605</v>
      </c>
      <c r="M76">
        <v>144</v>
      </c>
      <c r="N76">
        <v>36</v>
      </c>
      <c r="P76" s="10"/>
      <c r="V76" s="10"/>
    </row>
    <row r="77" spans="1:22" x14ac:dyDescent="0.25">
      <c r="A77" s="10">
        <v>45587</v>
      </c>
      <c r="B77" t="s">
        <v>496</v>
      </c>
      <c r="C77" t="s">
        <v>587</v>
      </c>
      <c r="D77" t="s">
        <v>419</v>
      </c>
      <c r="E77">
        <v>821</v>
      </c>
      <c r="F77">
        <v>461</v>
      </c>
      <c r="G77">
        <v>481</v>
      </c>
      <c r="H77">
        <v>502</v>
      </c>
      <c r="I77">
        <v>753</v>
      </c>
      <c r="J77">
        <v>993</v>
      </c>
      <c r="K77">
        <v>380</v>
      </c>
      <c r="L77">
        <v>115</v>
      </c>
      <c r="M77">
        <v>606</v>
      </c>
      <c r="N77">
        <v>604</v>
      </c>
      <c r="P77" s="10"/>
      <c r="V77" s="10"/>
    </row>
    <row r="78" spans="1:22" x14ac:dyDescent="0.25">
      <c r="A78" s="10">
        <v>45486</v>
      </c>
      <c r="B78" t="s">
        <v>497</v>
      </c>
      <c r="C78" t="s">
        <v>15</v>
      </c>
      <c r="D78" t="s">
        <v>588</v>
      </c>
      <c r="E78">
        <v>88</v>
      </c>
      <c r="F78">
        <v>965</v>
      </c>
      <c r="G78">
        <v>174</v>
      </c>
      <c r="H78">
        <v>181</v>
      </c>
      <c r="I78">
        <v>959</v>
      </c>
      <c r="J78">
        <v>134</v>
      </c>
      <c r="K78">
        <v>205</v>
      </c>
      <c r="L78">
        <v>494</v>
      </c>
      <c r="M78">
        <v>190</v>
      </c>
      <c r="N78">
        <v>774</v>
      </c>
      <c r="P78" s="10"/>
      <c r="V78" s="10"/>
    </row>
    <row r="79" spans="1:22" x14ac:dyDescent="0.25">
      <c r="A79" s="10">
        <v>45398</v>
      </c>
      <c r="B79" t="s">
        <v>498</v>
      </c>
      <c r="C79" t="s">
        <v>12</v>
      </c>
      <c r="D79" t="s">
        <v>414</v>
      </c>
      <c r="E79">
        <v>886</v>
      </c>
      <c r="F79">
        <v>715</v>
      </c>
      <c r="G79">
        <v>730</v>
      </c>
      <c r="H79">
        <v>34</v>
      </c>
      <c r="I79">
        <v>766</v>
      </c>
      <c r="J79">
        <v>141</v>
      </c>
      <c r="K79">
        <v>368</v>
      </c>
      <c r="L79">
        <v>857</v>
      </c>
      <c r="M79">
        <v>180</v>
      </c>
      <c r="N79">
        <v>628</v>
      </c>
      <c r="P79" s="10"/>
      <c r="V79" s="10"/>
    </row>
    <row r="80" spans="1:22" x14ac:dyDescent="0.25">
      <c r="A80" s="10">
        <v>45485</v>
      </c>
      <c r="B80" t="s">
        <v>499</v>
      </c>
      <c r="C80" t="s">
        <v>13</v>
      </c>
      <c r="D80" t="s">
        <v>413</v>
      </c>
      <c r="E80">
        <v>644</v>
      </c>
      <c r="F80">
        <v>759</v>
      </c>
      <c r="G80">
        <v>512</v>
      </c>
      <c r="H80">
        <v>488</v>
      </c>
      <c r="I80">
        <v>576</v>
      </c>
      <c r="J80">
        <v>397</v>
      </c>
      <c r="K80">
        <v>839</v>
      </c>
      <c r="L80">
        <v>26</v>
      </c>
      <c r="M80">
        <v>821</v>
      </c>
      <c r="N80">
        <v>420</v>
      </c>
      <c r="P80" s="10"/>
      <c r="V80" s="10"/>
    </row>
    <row r="81" spans="1:22" x14ac:dyDescent="0.25">
      <c r="A81" s="10">
        <v>45461</v>
      </c>
      <c r="B81" t="s">
        <v>500</v>
      </c>
      <c r="C81" t="s">
        <v>52</v>
      </c>
      <c r="D81" t="s">
        <v>411</v>
      </c>
      <c r="E81">
        <v>607</v>
      </c>
      <c r="F81">
        <v>72</v>
      </c>
      <c r="G81">
        <v>77</v>
      </c>
      <c r="H81">
        <v>845</v>
      </c>
      <c r="I81">
        <v>310</v>
      </c>
      <c r="J81">
        <v>355</v>
      </c>
      <c r="K81">
        <v>653</v>
      </c>
      <c r="L81">
        <v>220</v>
      </c>
      <c r="M81">
        <v>223</v>
      </c>
      <c r="N81">
        <v>514</v>
      </c>
      <c r="P81" s="10"/>
      <c r="V81" s="10"/>
    </row>
    <row r="82" spans="1:22" x14ac:dyDescent="0.25">
      <c r="A82" s="10">
        <v>45313</v>
      </c>
      <c r="B82" t="s">
        <v>501</v>
      </c>
      <c r="C82" t="s">
        <v>12</v>
      </c>
      <c r="D82" t="s">
        <v>413</v>
      </c>
      <c r="E82">
        <v>140</v>
      </c>
      <c r="F82">
        <v>447</v>
      </c>
      <c r="G82">
        <v>458</v>
      </c>
      <c r="H82">
        <v>992</v>
      </c>
      <c r="I82">
        <v>717</v>
      </c>
      <c r="J82">
        <v>682</v>
      </c>
      <c r="K82">
        <v>863</v>
      </c>
      <c r="L82">
        <v>195</v>
      </c>
      <c r="M82">
        <v>339</v>
      </c>
      <c r="N82">
        <v>659</v>
      </c>
      <c r="P82" s="10"/>
      <c r="V82" s="10"/>
    </row>
    <row r="83" spans="1:22" x14ac:dyDescent="0.25">
      <c r="A83" s="10">
        <v>45638</v>
      </c>
      <c r="B83" t="s">
        <v>502</v>
      </c>
      <c r="C83" t="s">
        <v>12</v>
      </c>
      <c r="D83" t="s">
        <v>588</v>
      </c>
      <c r="E83">
        <v>984</v>
      </c>
      <c r="F83">
        <v>998</v>
      </c>
      <c r="G83">
        <v>554</v>
      </c>
      <c r="H83">
        <v>522</v>
      </c>
      <c r="I83">
        <v>268</v>
      </c>
      <c r="J83">
        <v>65</v>
      </c>
      <c r="K83">
        <v>679</v>
      </c>
      <c r="L83">
        <v>560</v>
      </c>
      <c r="M83">
        <v>517</v>
      </c>
      <c r="N83">
        <v>376</v>
      </c>
      <c r="P83" s="10"/>
      <c r="V83" s="10"/>
    </row>
    <row r="84" spans="1:22" x14ac:dyDescent="0.25">
      <c r="A84" s="10">
        <v>45557</v>
      </c>
      <c r="B84" t="s">
        <v>503</v>
      </c>
      <c r="C84" t="s">
        <v>587</v>
      </c>
      <c r="D84" t="s">
        <v>413</v>
      </c>
      <c r="E84">
        <v>976</v>
      </c>
      <c r="F84">
        <v>55</v>
      </c>
      <c r="G84">
        <v>816</v>
      </c>
      <c r="H84">
        <v>380</v>
      </c>
      <c r="I84">
        <v>496</v>
      </c>
      <c r="J84">
        <v>324</v>
      </c>
      <c r="K84">
        <v>287</v>
      </c>
      <c r="L84">
        <v>653</v>
      </c>
      <c r="M84">
        <v>344</v>
      </c>
      <c r="N84">
        <v>729</v>
      </c>
      <c r="P84" s="10"/>
      <c r="V84" s="10"/>
    </row>
    <row r="85" spans="1:22" x14ac:dyDescent="0.25">
      <c r="A85" s="10">
        <v>45462</v>
      </c>
      <c r="B85" t="s">
        <v>504</v>
      </c>
      <c r="C85" t="s">
        <v>587</v>
      </c>
      <c r="D85" t="s">
        <v>411</v>
      </c>
      <c r="E85">
        <v>597</v>
      </c>
      <c r="F85">
        <v>611</v>
      </c>
      <c r="G85">
        <v>74</v>
      </c>
      <c r="H85">
        <v>708</v>
      </c>
      <c r="I85">
        <v>425</v>
      </c>
      <c r="J85">
        <v>426</v>
      </c>
      <c r="K85">
        <v>257</v>
      </c>
      <c r="L85">
        <v>747</v>
      </c>
      <c r="M85">
        <v>20</v>
      </c>
      <c r="N85">
        <v>346</v>
      </c>
      <c r="P85" s="10"/>
      <c r="V85" s="10"/>
    </row>
    <row r="86" spans="1:22" x14ac:dyDescent="0.25">
      <c r="A86" s="10">
        <v>45597</v>
      </c>
      <c r="B86" t="s">
        <v>505</v>
      </c>
      <c r="C86" t="s">
        <v>13</v>
      </c>
      <c r="D86" t="s">
        <v>193</v>
      </c>
      <c r="E86">
        <v>232</v>
      </c>
      <c r="F86">
        <v>105</v>
      </c>
      <c r="G86">
        <v>781</v>
      </c>
      <c r="H86">
        <v>406</v>
      </c>
      <c r="I86">
        <v>539</v>
      </c>
      <c r="J86">
        <v>688</v>
      </c>
      <c r="K86">
        <v>186</v>
      </c>
      <c r="L86">
        <v>747</v>
      </c>
      <c r="M86">
        <v>479</v>
      </c>
      <c r="N86">
        <v>407</v>
      </c>
      <c r="V86" s="10"/>
    </row>
    <row r="87" spans="1:22" x14ac:dyDescent="0.25">
      <c r="A87" s="10">
        <v>45415</v>
      </c>
      <c r="B87" t="s">
        <v>506</v>
      </c>
      <c r="C87" t="s">
        <v>13</v>
      </c>
      <c r="D87" t="s">
        <v>419</v>
      </c>
      <c r="E87">
        <v>457</v>
      </c>
      <c r="F87">
        <v>679</v>
      </c>
      <c r="G87">
        <v>203</v>
      </c>
      <c r="H87">
        <v>611</v>
      </c>
      <c r="I87">
        <v>129</v>
      </c>
      <c r="J87">
        <v>902</v>
      </c>
      <c r="K87">
        <v>613</v>
      </c>
      <c r="L87">
        <v>751</v>
      </c>
      <c r="M87">
        <v>304</v>
      </c>
      <c r="N87">
        <v>681</v>
      </c>
      <c r="V87" s="10"/>
    </row>
    <row r="88" spans="1:22" x14ac:dyDescent="0.25">
      <c r="A88" s="10">
        <v>45574</v>
      </c>
      <c r="B88" t="s">
        <v>507</v>
      </c>
      <c r="C88" t="s">
        <v>52</v>
      </c>
      <c r="D88" t="s">
        <v>419</v>
      </c>
      <c r="E88">
        <v>969</v>
      </c>
      <c r="F88">
        <v>777</v>
      </c>
      <c r="G88">
        <v>804</v>
      </c>
      <c r="H88">
        <v>486</v>
      </c>
      <c r="I88">
        <v>888</v>
      </c>
      <c r="J88">
        <v>378</v>
      </c>
      <c r="K88">
        <v>822</v>
      </c>
      <c r="L88">
        <v>532</v>
      </c>
      <c r="M88">
        <v>912</v>
      </c>
      <c r="N88">
        <v>712</v>
      </c>
      <c r="V88" s="10"/>
    </row>
    <row r="89" spans="1:22" x14ac:dyDescent="0.25">
      <c r="A89" s="10">
        <v>45503</v>
      </c>
      <c r="B89" t="s">
        <v>508</v>
      </c>
      <c r="C89" t="s">
        <v>190</v>
      </c>
      <c r="D89" t="s">
        <v>411</v>
      </c>
      <c r="E89">
        <v>935</v>
      </c>
      <c r="F89">
        <v>387</v>
      </c>
      <c r="G89">
        <v>869</v>
      </c>
      <c r="H89">
        <v>366</v>
      </c>
      <c r="I89">
        <v>128</v>
      </c>
      <c r="J89">
        <v>650</v>
      </c>
      <c r="K89">
        <v>507</v>
      </c>
      <c r="L89">
        <v>745</v>
      </c>
      <c r="M89">
        <v>904</v>
      </c>
      <c r="N89">
        <v>244</v>
      </c>
      <c r="V89" s="10"/>
    </row>
    <row r="90" spans="1:22" x14ac:dyDescent="0.25">
      <c r="A90" s="10">
        <v>45371</v>
      </c>
      <c r="B90" t="s">
        <v>509</v>
      </c>
      <c r="C90" t="s">
        <v>15</v>
      </c>
      <c r="D90" t="s">
        <v>419</v>
      </c>
      <c r="E90">
        <v>32</v>
      </c>
      <c r="F90">
        <v>245</v>
      </c>
      <c r="G90">
        <v>395</v>
      </c>
      <c r="H90">
        <v>626</v>
      </c>
      <c r="I90">
        <v>889</v>
      </c>
      <c r="J90">
        <v>673</v>
      </c>
      <c r="K90">
        <v>883</v>
      </c>
      <c r="L90">
        <v>824</v>
      </c>
      <c r="M90">
        <v>527</v>
      </c>
      <c r="N90">
        <v>403</v>
      </c>
      <c r="V90" s="10"/>
    </row>
    <row r="91" spans="1:22" x14ac:dyDescent="0.25">
      <c r="A91" s="10">
        <v>45556</v>
      </c>
      <c r="B91" t="s">
        <v>510</v>
      </c>
      <c r="C91" t="s">
        <v>52</v>
      </c>
      <c r="D91" t="s">
        <v>419</v>
      </c>
      <c r="E91">
        <v>555</v>
      </c>
      <c r="F91">
        <v>886</v>
      </c>
      <c r="G91">
        <v>586</v>
      </c>
      <c r="H91">
        <v>956</v>
      </c>
      <c r="I91">
        <v>489</v>
      </c>
      <c r="J91">
        <v>435</v>
      </c>
      <c r="K91">
        <v>360</v>
      </c>
      <c r="L91">
        <v>412</v>
      </c>
      <c r="M91">
        <v>535</v>
      </c>
      <c r="N91">
        <v>957</v>
      </c>
      <c r="V91" s="10"/>
    </row>
    <row r="92" spans="1:22" x14ac:dyDescent="0.25">
      <c r="A92" s="10">
        <v>45642</v>
      </c>
      <c r="B92" t="s">
        <v>511</v>
      </c>
      <c r="C92" t="s">
        <v>587</v>
      </c>
      <c r="D92" t="s">
        <v>588</v>
      </c>
      <c r="E92">
        <v>272</v>
      </c>
      <c r="F92">
        <v>65</v>
      </c>
      <c r="G92">
        <v>578</v>
      </c>
      <c r="H92">
        <v>492</v>
      </c>
      <c r="I92">
        <v>227</v>
      </c>
      <c r="J92">
        <v>459</v>
      </c>
      <c r="K92">
        <v>977</v>
      </c>
      <c r="L92">
        <v>719</v>
      </c>
      <c r="M92">
        <v>260</v>
      </c>
      <c r="N92">
        <v>363</v>
      </c>
      <c r="V92" s="10"/>
    </row>
    <row r="93" spans="1:22" x14ac:dyDescent="0.25">
      <c r="A93" s="10">
        <v>45516</v>
      </c>
      <c r="B93" t="s">
        <v>512</v>
      </c>
      <c r="C93" t="s">
        <v>587</v>
      </c>
      <c r="D93" t="s">
        <v>414</v>
      </c>
      <c r="E93">
        <v>418</v>
      </c>
      <c r="F93">
        <v>763</v>
      </c>
      <c r="G93">
        <v>467</v>
      </c>
      <c r="H93">
        <v>723</v>
      </c>
      <c r="I93">
        <v>783</v>
      </c>
      <c r="J93">
        <v>146</v>
      </c>
      <c r="K93">
        <v>996</v>
      </c>
      <c r="L93">
        <v>291</v>
      </c>
      <c r="M93">
        <v>945</v>
      </c>
      <c r="N93">
        <v>115</v>
      </c>
      <c r="V93" s="10"/>
    </row>
    <row r="94" spans="1:22" x14ac:dyDescent="0.25">
      <c r="A94" s="10">
        <v>45355</v>
      </c>
      <c r="B94" t="s">
        <v>513</v>
      </c>
      <c r="C94" t="s">
        <v>52</v>
      </c>
      <c r="D94" t="s">
        <v>411</v>
      </c>
      <c r="E94">
        <v>134</v>
      </c>
      <c r="F94">
        <v>60</v>
      </c>
      <c r="G94">
        <v>840</v>
      </c>
      <c r="H94">
        <v>940</v>
      </c>
      <c r="I94">
        <v>56</v>
      </c>
      <c r="J94">
        <v>513</v>
      </c>
      <c r="K94">
        <v>184</v>
      </c>
      <c r="L94">
        <v>344</v>
      </c>
      <c r="M94">
        <v>732</v>
      </c>
      <c r="N94">
        <v>551</v>
      </c>
      <c r="V94" s="10"/>
    </row>
    <row r="95" spans="1:22" x14ac:dyDescent="0.25">
      <c r="A95" s="10">
        <v>45538</v>
      </c>
      <c r="B95" t="s">
        <v>514</v>
      </c>
      <c r="C95" t="s">
        <v>12</v>
      </c>
      <c r="D95" t="s">
        <v>419</v>
      </c>
      <c r="E95">
        <v>831</v>
      </c>
      <c r="F95">
        <v>337</v>
      </c>
      <c r="G95">
        <v>619</v>
      </c>
      <c r="H95">
        <v>595</v>
      </c>
      <c r="I95">
        <v>343</v>
      </c>
      <c r="J95">
        <v>75</v>
      </c>
      <c r="K95">
        <v>729</v>
      </c>
      <c r="L95">
        <v>75</v>
      </c>
      <c r="M95">
        <v>948</v>
      </c>
      <c r="N95">
        <v>461</v>
      </c>
      <c r="V95" s="10"/>
    </row>
    <row r="96" spans="1:22" x14ac:dyDescent="0.25">
      <c r="A96" s="10">
        <v>45428</v>
      </c>
      <c r="B96" t="s">
        <v>515</v>
      </c>
      <c r="C96" t="s">
        <v>587</v>
      </c>
      <c r="D96" t="s">
        <v>193</v>
      </c>
      <c r="E96">
        <v>993</v>
      </c>
      <c r="F96">
        <v>856</v>
      </c>
      <c r="G96">
        <v>246</v>
      </c>
      <c r="H96">
        <v>996</v>
      </c>
      <c r="I96">
        <v>217</v>
      </c>
      <c r="J96">
        <v>940</v>
      </c>
      <c r="K96">
        <v>994</v>
      </c>
      <c r="L96">
        <v>958</v>
      </c>
      <c r="M96">
        <v>697</v>
      </c>
      <c r="N96">
        <v>117</v>
      </c>
      <c r="V96" s="10"/>
    </row>
    <row r="97" spans="1:22" x14ac:dyDescent="0.25">
      <c r="A97" s="10">
        <v>45518</v>
      </c>
      <c r="B97" t="s">
        <v>516</v>
      </c>
      <c r="C97" t="s">
        <v>13</v>
      </c>
      <c r="D97" t="s">
        <v>193</v>
      </c>
      <c r="E97">
        <v>434</v>
      </c>
      <c r="F97">
        <v>915</v>
      </c>
      <c r="G97">
        <v>437</v>
      </c>
      <c r="H97">
        <v>728</v>
      </c>
      <c r="I97">
        <v>580</v>
      </c>
      <c r="J97">
        <v>953</v>
      </c>
      <c r="K97">
        <v>53</v>
      </c>
      <c r="L97">
        <v>815</v>
      </c>
      <c r="M97">
        <v>743</v>
      </c>
      <c r="N97">
        <v>944</v>
      </c>
      <c r="V97" s="10"/>
    </row>
    <row r="98" spans="1:22" x14ac:dyDescent="0.25">
      <c r="A98" s="10">
        <v>45481</v>
      </c>
      <c r="B98" t="s">
        <v>517</v>
      </c>
      <c r="C98" t="s">
        <v>190</v>
      </c>
      <c r="D98" t="s">
        <v>411</v>
      </c>
      <c r="E98">
        <v>276</v>
      </c>
      <c r="F98">
        <v>555</v>
      </c>
      <c r="G98">
        <v>294</v>
      </c>
      <c r="H98">
        <v>65</v>
      </c>
      <c r="I98">
        <v>416</v>
      </c>
      <c r="J98">
        <v>496</v>
      </c>
      <c r="K98">
        <v>384</v>
      </c>
      <c r="L98">
        <v>841</v>
      </c>
      <c r="M98">
        <v>995</v>
      </c>
      <c r="N98">
        <v>835</v>
      </c>
      <c r="V98" s="10"/>
    </row>
    <row r="99" spans="1:22" x14ac:dyDescent="0.25">
      <c r="A99" s="10">
        <v>45582</v>
      </c>
      <c r="B99" t="s">
        <v>518</v>
      </c>
      <c r="C99" t="s">
        <v>52</v>
      </c>
      <c r="D99" t="s">
        <v>411</v>
      </c>
      <c r="E99">
        <v>702</v>
      </c>
      <c r="F99">
        <v>420</v>
      </c>
      <c r="G99">
        <v>133</v>
      </c>
      <c r="H99">
        <v>13</v>
      </c>
      <c r="I99">
        <v>290</v>
      </c>
      <c r="J99">
        <v>394</v>
      </c>
      <c r="K99">
        <v>980</v>
      </c>
      <c r="L99">
        <v>406</v>
      </c>
      <c r="M99">
        <v>327</v>
      </c>
      <c r="N99">
        <v>687</v>
      </c>
      <c r="V99" s="10"/>
    </row>
    <row r="100" spans="1:22" x14ac:dyDescent="0.25">
      <c r="A100" s="10">
        <v>45327</v>
      </c>
      <c r="B100" t="s">
        <v>519</v>
      </c>
      <c r="C100" t="s">
        <v>13</v>
      </c>
      <c r="D100" t="s">
        <v>588</v>
      </c>
      <c r="E100">
        <v>882</v>
      </c>
      <c r="F100">
        <v>41</v>
      </c>
      <c r="G100">
        <v>385</v>
      </c>
      <c r="H100">
        <v>702</v>
      </c>
      <c r="I100">
        <v>226</v>
      </c>
      <c r="J100">
        <v>730</v>
      </c>
      <c r="K100">
        <v>596</v>
      </c>
      <c r="L100">
        <v>102</v>
      </c>
      <c r="M100">
        <v>924</v>
      </c>
      <c r="N100">
        <v>182</v>
      </c>
      <c r="V100" s="10"/>
    </row>
    <row r="101" spans="1:22" x14ac:dyDescent="0.25">
      <c r="A101" s="10">
        <v>45359</v>
      </c>
      <c r="B101" t="s">
        <v>520</v>
      </c>
      <c r="C101" t="s">
        <v>190</v>
      </c>
      <c r="D101" t="s">
        <v>413</v>
      </c>
      <c r="E101">
        <v>810</v>
      </c>
      <c r="F101">
        <v>793</v>
      </c>
      <c r="G101">
        <v>456</v>
      </c>
      <c r="H101">
        <v>594</v>
      </c>
      <c r="I101">
        <v>226</v>
      </c>
      <c r="J101">
        <v>217</v>
      </c>
      <c r="K101">
        <v>919</v>
      </c>
      <c r="L101">
        <v>489</v>
      </c>
      <c r="M101">
        <v>726</v>
      </c>
      <c r="N101">
        <v>690</v>
      </c>
      <c r="V101" s="10"/>
    </row>
    <row r="102" spans="1:22" x14ac:dyDescent="0.25">
      <c r="A102" s="10">
        <v>45421</v>
      </c>
      <c r="B102" t="s">
        <v>521</v>
      </c>
      <c r="C102" t="s">
        <v>52</v>
      </c>
      <c r="D102" t="s">
        <v>419</v>
      </c>
      <c r="E102">
        <v>936</v>
      </c>
      <c r="F102">
        <v>163</v>
      </c>
      <c r="G102">
        <v>909</v>
      </c>
      <c r="H102">
        <v>816</v>
      </c>
      <c r="I102">
        <v>619</v>
      </c>
      <c r="J102">
        <v>909</v>
      </c>
      <c r="K102">
        <v>962</v>
      </c>
      <c r="L102">
        <v>451</v>
      </c>
      <c r="M102">
        <v>708</v>
      </c>
      <c r="N102">
        <v>131</v>
      </c>
      <c r="V102" s="10"/>
    </row>
    <row r="103" spans="1:22" x14ac:dyDescent="0.25">
      <c r="A103" s="10">
        <v>45421</v>
      </c>
      <c r="B103" t="s">
        <v>522</v>
      </c>
      <c r="C103" t="s">
        <v>52</v>
      </c>
      <c r="D103" t="s">
        <v>419</v>
      </c>
      <c r="E103">
        <v>363</v>
      </c>
      <c r="F103">
        <v>86</v>
      </c>
      <c r="G103">
        <v>620</v>
      </c>
      <c r="H103">
        <v>50</v>
      </c>
      <c r="I103">
        <v>943</v>
      </c>
      <c r="J103">
        <v>775</v>
      </c>
      <c r="K103">
        <v>330</v>
      </c>
      <c r="L103">
        <v>324</v>
      </c>
      <c r="M103">
        <v>984</v>
      </c>
      <c r="N103">
        <v>897</v>
      </c>
      <c r="V103" s="10"/>
    </row>
    <row r="104" spans="1:22" x14ac:dyDescent="0.25">
      <c r="A104" s="10">
        <v>45446</v>
      </c>
      <c r="B104" t="s">
        <v>523</v>
      </c>
      <c r="C104" t="s">
        <v>15</v>
      </c>
      <c r="D104" t="s">
        <v>193</v>
      </c>
      <c r="E104">
        <v>453</v>
      </c>
      <c r="F104">
        <v>802</v>
      </c>
      <c r="G104">
        <v>658</v>
      </c>
      <c r="H104">
        <v>527</v>
      </c>
      <c r="I104">
        <v>36</v>
      </c>
      <c r="J104">
        <v>441</v>
      </c>
      <c r="K104">
        <v>159</v>
      </c>
      <c r="L104">
        <v>619</v>
      </c>
      <c r="M104">
        <v>225</v>
      </c>
      <c r="N104">
        <v>326</v>
      </c>
      <c r="V104" s="10"/>
    </row>
    <row r="105" spans="1:22" x14ac:dyDescent="0.25">
      <c r="A105" s="10">
        <v>45397</v>
      </c>
      <c r="B105" t="s">
        <v>524</v>
      </c>
      <c r="C105" t="s">
        <v>52</v>
      </c>
      <c r="D105" t="s">
        <v>419</v>
      </c>
      <c r="E105">
        <v>506</v>
      </c>
      <c r="F105">
        <v>488</v>
      </c>
      <c r="G105">
        <v>857</v>
      </c>
      <c r="H105">
        <v>153</v>
      </c>
      <c r="I105">
        <v>482</v>
      </c>
      <c r="J105">
        <v>675</v>
      </c>
      <c r="K105">
        <v>630</v>
      </c>
      <c r="L105">
        <v>466</v>
      </c>
      <c r="M105">
        <v>834</v>
      </c>
      <c r="N105">
        <v>580</v>
      </c>
      <c r="V105" s="10"/>
    </row>
    <row r="106" spans="1:22" x14ac:dyDescent="0.25">
      <c r="A106" s="10">
        <v>45395</v>
      </c>
      <c r="B106" t="s">
        <v>525</v>
      </c>
      <c r="C106" t="s">
        <v>15</v>
      </c>
      <c r="D106" t="s">
        <v>419</v>
      </c>
      <c r="E106">
        <v>218</v>
      </c>
      <c r="F106">
        <v>723</v>
      </c>
      <c r="G106">
        <v>457</v>
      </c>
      <c r="H106">
        <v>370</v>
      </c>
      <c r="I106">
        <v>389</v>
      </c>
      <c r="J106">
        <v>544</v>
      </c>
      <c r="K106">
        <v>815</v>
      </c>
      <c r="L106">
        <v>574</v>
      </c>
      <c r="M106">
        <v>892</v>
      </c>
      <c r="N106">
        <v>903</v>
      </c>
      <c r="V106" s="10"/>
    </row>
    <row r="107" spans="1:22" x14ac:dyDescent="0.25">
      <c r="A107" s="10">
        <v>45580</v>
      </c>
      <c r="B107" t="s">
        <v>526</v>
      </c>
      <c r="C107" t="s">
        <v>52</v>
      </c>
      <c r="D107" t="s">
        <v>588</v>
      </c>
      <c r="E107">
        <v>555</v>
      </c>
      <c r="F107">
        <v>118</v>
      </c>
      <c r="G107">
        <v>313</v>
      </c>
      <c r="H107">
        <v>70</v>
      </c>
      <c r="I107">
        <v>905</v>
      </c>
      <c r="J107">
        <v>447</v>
      </c>
      <c r="K107">
        <v>938</v>
      </c>
      <c r="L107">
        <v>96</v>
      </c>
      <c r="M107">
        <v>277</v>
      </c>
      <c r="N107">
        <v>611</v>
      </c>
      <c r="V107" s="10"/>
    </row>
    <row r="108" spans="1:22" x14ac:dyDescent="0.25">
      <c r="A108" s="10">
        <v>45338</v>
      </c>
      <c r="B108" t="s">
        <v>527</v>
      </c>
      <c r="C108" t="s">
        <v>587</v>
      </c>
      <c r="D108" t="s">
        <v>588</v>
      </c>
      <c r="E108">
        <v>271</v>
      </c>
      <c r="F108">
        <v>160</v>
      </c>
      <c r="G108">
        <v>450</v>
      </c>
      <c r="H108">
        <v>336</v>
      </c>
      <c r="I108">
        <v>415</v>
      </c>
      <c r="J108">
        <v>223</v>
      </c>
      <c r="K108">
        <v>901</v>
      </c>
      <c r="L108">
        <v>439</v>
      </c>
      <c r="M108">
        <v>118</v>
      </c>
      <c r="N108">
        <v>643</v>
      </c>
      <c r="V108" s="10"/>
    </row>
    <row r="109" spans="1:22" x14ac:dyDescent="0.25">
      <c r="A109" s="10">
        <v>45635</v>
      </c>
      <c r="B109" t="s">
        <v>528</v>
      </c>
      <c r="C109" t="s">
        <v>587</v>
      </c>
      <c r="D109" t="s">
        <v>419</v>
      </c>
      <c r="E109">
        <v>710</v>
      </c>
      <c r="F109">
        <v>85</v>
      </c>
      <c r="G109">
        <v>45</v>
      </c>
      <c r="H109">
        <v>580</v>
      </c>
      <c r="I109">
        <v>47</v>
      </c>
      <c r="J109">
        <v>247</v>
      </c>
      <c r="K109">
        <v>548</v>
      </c>
      <c r="L109">
        <v>229</v>
      </c>
      <c r="M109">
        <v>491</v>
      </c>
      <c r="N109">
        <v>3</v>
      </c>
      <c r="V109" s="10"/>
    </row>
    <row r="110" spans="1:22" x14ac:dyDescent="0.25">
      <c r="A110" s="10">
        <v>45479</v>
      </c>
      <c r="B110" t="s">
        <v>529</v>
      </c>
      <c r="C110" t="s">
        <v>12</v>
      </c>
      <c r="D110" t="s">
        <v>419</v>
      </c>
      <c r="E110">
        <v>425</v>
      </c>
      <c r="F110">
        <v>247</v>
      </c>
      <c r="G110">
        <v>235</v>
      </c>
      <c r="H110">
        <v>494</v>
      </c>
      <c r="I110">
        <v>603</v>
      </c>
      <c r="J110">
        <v>289</v>
      </c>
      <c r="K110">
        <v>705</v>
      </c>
      <c r="L110">
        <v>161</v>
      </c>
      <c r="M110">
        <v>848</v>
      </c>
      <c r="N110">
        <v>420</v>
      </c>
      <c r="V110" s="10"/>
    </row>
    <row r="111" spans="1:22" x14ac:dyDescent="0.25">
      <c r="A111" s="10">
        <v>45441</v>
      </c>
      <c r="B111" t="s">
        <v>530</v>
      </c>
      <c r="C111" t="s">
        <v>12</v>
      </c>
      <c r="D111" t="s">
        <v>193</v>
      </c>
      <c r="E111">
        <v>468</v>
      </c>
      <c r="F111">
        <v>650</v>
      </c>
      <c r="G111">
        <v>131</v>
      </c>
      <c r="H111">
        <v>616</v>
      </c>
      <c r="I111">
        <v>152</v>
      </c>
      <c r="J111">
        <v>120</v>
      </c>
      <c r="K111">
        <v>484</v>
      </c>
      <c r="L111">
        <v>266</v>
      </c>
      <c r="M111">
        <v>576</v>
      </c>
      <c r="N111">
        <v>499</v>
      </c>
      <c r="V111" s="10"/>
    </row>
    <row r="112" spans="1:22" x14ac:dyDescent="0.25">
      <c r="A112" s="10">
        <v>45608</v>
      </c>
      <c r="B112" t="s">
        <v>531</v>
      </c>
      <c r="C112" t="s">
        <v>587</v>
      </c>
      <c r="D112" t="s">
        <v>413</v>
      </c>
      <c r="E112">
        <v>615</v>
      </c>
      <c r="F112">
        <v>980</v>
      </c>
      <c r="G112">
        <v>973</v>
      </c>
      <c r="H112">
        <v>535</v>
      </c>
      <c r="I112">
        <v>707</v>
      </c>
      <c r="J112">
        <v>999</v>
      </c>
      <c r="K112">
        <v>322</v>
      </c>
      <c r="L112">
        <v>897</v>
      </c>
      <c r="M112">
        <v>410</v>
      </c>
      <c r="N112">
        <v>718</v>
      </c>
      <c r="V112" s="10"/>
    </row>
    <row r="113" spans="1:22" x14ac:dyDescent="0.25">
      <c r="A113" s="10">
        <v>45587</v>
      </c>
      <c r="B113" t="s">
        <v>532</v>
      </c>
      <c r="C113" t="s">
        <v>52</v>
      </c>
      <c r="D113" t="s">
        <v>193</v>
      </c>
      <c r="E113">
        <v>224</v>
      </c>
      <c r="F113">
        <v>388</v>
      </c>
      <c r="G113">
        <v>484</v>
      </c>
      <c r="H113">
        <v>54</v>
      </c>
      <c r="I113">
        <v>328</v>
      </c>
      <c r="J113">
        <v>435</v>
      </c>
      <c r="K113">
        <v>731</v>
      </c>
      <c r="L113">
        <v>690</v>
      </c>
      <c r="M113">
        <v>284</v>
      </c>
      <c r="N113">
        <v>68</v>
      </c>
      <c r="V113" s="10"/>
    </row>
    <row r="114" spans="1:22" x14ac:dyDescent="0.25">
      <c r="A114" s="10">
        <v>45502</v>
      </c>
      <c r="B114" t="s">
        <v>533</v>
      </c>
      <c r="C114" t="s">
        <v>52</v>
      </c>
      <c r="D114" t="s">
        <v>419</v>
      </c>
      <c r="E114">
        <v>736</v>
      </c>
      <c r="F114">
        <v>209</v>
      </c>
      <c r="G114">
        <v>147</v>
      </c>
      <c r="H114">
        <v>14</v>
      </c>
      <c r="I114">
        <v>71</v>
      </c>
      <c r="J114">
        <v>237</v>
      </c>
      <c r="K114">
        <v>59</v>
      </c>
      <c r="L114">
        <v>874</v>
      </c>
      <c r="M114">
        <v>194</v>
      </c>
      <c r="N114">
        <v>646</v>
      </c>
      <c r="V114" s="10"/>
    </row>
    <row r="115" spans="1:22" x14ac:dyDescent="0.25">
      <c r="A115" s="10">
        <v>45348</v>
      </c>
      <c r="B115" t="s">
        <v>534</v>
      </c>
      <c r="C115" t="s">
        <v>12</v>
      </c>
      <c r="D115" t="s">
        <v>413</v>
      </c>
      <c r="E115">
        <v>240</v>
      </c>
      <c r="F115">
        <v>49</v>
      </c>
      <c r="G115">
        <v>272</v>
      </c>
      <c r="H115">
        <v>713</v>
      </c>
      <c r="I115">
        <v>315</v>
      </c>
      <c r="J115">
        <v>225</v>
      </c>
      <c r="K115">
        <v>350</v>
      </c>
      <c r="L115">
        <v>877</v>
      </c>
      <c r="M115">
        <v>316</v>
      </c>
      <c r="N115">
        <v>875</v>
      </c>
      <c r="V115" s="10"/>
    </row>
    <row r="116" spans="1:22" x14ac:dyDescent="0.25">
      <c r="A116" s="10">
        <v>45365</v>
      </c>
      <c r="B116" t="s">
        <v>535</v>
      </c>
      <c r="C116" t="s">
        <v>52</v>
      </c>
      <c r="D116" t="s">
        <v>414</v>
      </c>
      <c r="E116">
        <v>950</v>
      </c>
      <c r="F116">
        <v>263</v>
      </c>
      <c r="G116">
        <v>527</v>
      </c>
      <c r="H116">
        <v>760</v>
      </c>
      <c r="I116">
        <v>648</v>
      </c>
      <c r="J116">
        <v>652</v>
      </c>
      <c r="K116">
        <v>291</v>
      </c>
      <c r="L116">
        <v>528</v>
      </c>
      <c r="M116">
        <v>752</v>
      </c>
      <c r="N116">
        <v>903</v>
      </c>
      <c r="V116" s="10"/>
    </row>
    <row r="117" spans="1:22" x14ac:dyDescent="0.25">
      <c r="A117" s="10">
        <v>45421</v>
      </c>
      <c r="B117" t="s">
        <v>536</v>
      </c>
      <c r="C117" t="s">
        <v>13</v>
      </c>
      <c r="D117" t="s">
        <v>588</v>
      </c>
      <c r="E117">
        <v>691</v>
      </c>
      <c r="F117">
        <v>989</v>
      </c>
      <c r="G117">
        <v>456</v>
      </c>
      <c r="H117">
        <v>630</v>
      </c>
      <c r="I117">
        <v>137</v>
      </c>
      <c r="J117">
        <v>583</v>
      </c>
      <c r="K117">
        <v>273</v>
      </c>
      <c r="L117">
        <v>846</v>
      </c>
      <c r="M117">
        <v>864</v>
      </c>
      <c r="N117">
        <v>561</v>
      </c>
      <c r="V117" s="10"/>
    </row>
    <row r="118" spans="1:22" x14ac:dyDescent="0.25">
      <c r="A118" s="10">
        <v>45573</v>
      </c>
      <c r="B118" t="s">
        <v>537</v>
      </c>
      <c r="C118" t="s">
        <v>190</v>
      </c>
      <c r="D118" t="s">
        <v>413</v>
      </c>
      <c r="E118">
        <v>543</v>
      </c>
      <c r="F118">
        <v>368</v>
      </c>
      <c r="G118">
        <v>283</v>
      </c>
      <c r="H118">
        <v>218</v>
      </c>
      <c r="I118">
        <v>445</v>
      </c>
      <c r="J118">
        <v>570</v>
      </c>
      <c r="K118">
        <v>259</v>
      </c>
      <c r="L118">
        <v>674</v>
      </c>
      <c r="M118">
        <v>363</v>
      </c>
      <c r="N118">
        <v>175</v>
      </c>
      <c r="V118" s="10"/>
    </row>
    <row r="119" spans="1:22" x14ac:dyDescent="0.25">
      <c r="A119" s="10">
        <v>45492</v>
      </c>
      <c r="B119" t="s">
        <v>538</v>
      </c>
      <c r="C119" t="s">
        <v>15</v>
      </c>
      <c r="D119" t="s">
        <v>588</v>
      </c>
      <c r="E119">
        <v>586</v>
      </c>
      <c r="F119">
        <v>270</v>
      </c>
      <c r="G119">
        <v>927</v>
      </c>
      <c r="H119">
        <v>953</v>
      </c>
      <c r="I119">
        <v>588</v>
      </c>
      <c r="J119">
        <v>437</v>
      </c>
      <c r="K119">
        <v>264</v>
      </c>
      <c r="L119">
        <v>807</v>
      </c>
      <c r="M119">
        <v>195</v>
      </c>
      <c r="N119">
        <v>415</v>
      </c>
      <c r="V119" s="10"/>
    </row>
    <row r="120" spans="1:22" x14ac:dyDescent="0.25">
      <c r="A120" s="10">
        <v>45527</v>
      </c>
      <c r="B120" t="s">
        <v>539</v>
      </c>
      <c r="C120" t="s">
        <v>15</v>
      </c>
      <c r="D120" t="s">
        <v>193</v>
      </c>
      <c r="E120">
        <v>91</v>
      </c>
      <c r="F120">
        <v>473</v>
      </c>
      <c r="G120">
        <v>669</v>
      </c>
      <c r="H120">
        <v>891</v>
      </c>
      <c r="I120">
        <v>692</v>
      </c>
      <c r="J120">
        <v>365</v>
      </c>
      <c r="K120">
        <v>7</v>
      </c>
      <c r="L120">
        <v>381</v>
      </c>
      <c r="M120">
        <v>836</v>
      </c>
      <c r="N120">
        <v>269</v>
      </c>
      <c r="V120" s="10"/>
    </row>
    <row r="121" spans="1:22" x14ac:dyDescent="0.25">
      <c r="A121" s="10">
        <v>45517</v>
      </c>
      <c r="B121" t="s">
        <v>540</v>
      </c>
      <c r="C121" t="s">
        <v>587</v>
      </c>
      <c r="D121" t="s">
        <v>588</v>
      </c>
      <c r="E121">
        <v>830</v>
      </c>
      <c r="F121">
        <v>942</v>
      </c>
      <c r="G121">
        <v>888</v>
      </c>
      <c r="H121">
        <v>2</v>
      </c>
      <c r="I121">
        <v>686</v>
      </c>
      <c r="J121">
        <v>926</v>
      </c>
      <c r="K121">
        <v>21</v>
      </c>
      <c r="L121">
        <v>10</v>
      </c>
      <c r="M121">
        <v>419</v>
      </c>
      <c r="N121">
        <v>203</v>
      </c>
      <c r="V121" s="10"/>
    </row>
    <row r="122" spans="1:22" x14ac:dyDescent="0.25">
      <c r="A122" s="10">
        <v>45297</v>
      </c>
      <c r="B122" t="s">
        <v>541</v>
      </c>
      <c r="C122" t="s">
        <v>13</v>
      </c>
      <c r="D122" t="s">
        <v>411</v>
      </c>
      <c r="E122">
        <v>974</v>
      </c>
      <c r="F122">
        <v>42</v>
      </c>
      <c r="G122">
        <v>919</v>
      </c>
      <c r="H122">
        <v>195</v>
      </c>
      <c r="I122">
        <v>515</v>
      </c>
      <c r="J122">
        <v>165</v>
      </c>
      <c r="K122">
        <v>331</v>
      </c>
      <c r="L122">
        <v>748</v>
      </c>
      <c r="M122">
        <v>338</v>
      </c>
      <c r="N122">
        <v>713</v>
      </c>
      <c r="V122" s="10"/>
    </row>
    <row r="123" spans="1:22" x14ac:dyDescent="0.25">
      <c r="A123" s="10">
        <v>45407</v>
      </c>
      <c r="B123" t="s">
        <v>542</v>
      </c>
      <c r="C123" t="s">
        <v>190</v>
      </c>
      <c r="D123" t="s">
        <v>588</v>
      </c>
      <c r="E123">
        <v>857</v>
      </c>
      <c r="F123">
        <v>359</v>
      </c>
      <c r="G123">
        <v>131</v>
      </c>
      <c r="H123">
        <v>26</v>
      </c>
      <c r="I123">
        <v>869</v>
      </c>
      <c r="J123">
        <v>822</v>
      </c>
      <c r="K123">
        <v>302</v>
      </c>
      <c r="L123">
        <v>495</v>
      </c>
      <c r="M123">
        <v>4</v>
      </c>
      <c r="N123">
        <v>538</v>
      </c>
      <c r="V123" s="10"/>
    </row>
    <row r="124" spans="1:22" x14ac:dyDescent="0.25">
      <c r="A124" s="10">
        <v>45499</v>
      </c>
      <c r="B124" t="s">
        <v>543</v>
      </c>
      <c r="C124" t="s">
        <v>15</v>
      </c>
      <c r="D124" t="s">
        <v>411</v>
      </c>
      <c r="E124">
        <v>672</v>
      </c>
      <c r="F124">
        <v>248</v>
      </c>
      <c r="G124">
        <v>823</v>
      </c>
      <c r="H124">
        <v>828</v>
      </c>
      <c r="I124">
        <v>985</v>
      </c>
      <c r="J124">
        <v>785</v>
      </c>
      <c r="K124">
        <v>178</v>
      </c>
      <c r="L124">
        <v>18</v>
      </c>
      <c r="M124">
        <v>117</v>
      </c>
      <c r="N124">
        <v>938</v>
      </c>
      <c r="V124" s="10"/>
    </row>
    <row r="125" spans="1:22" x14ac:dyDescent="0.25">
      <c r="A125" s="10">
        <v>45323</v>
      </c>
      <c r="B125" t="s">
        <v>544</v>
      </c>
      <c r="C125" t="s">
        <v>13</v>
      </c>
      <c r="D125" t="s">
        <v>411</v>
      </c>
      <c r="E125">
        <v>809</v>
      </c>
      <c r="F125">
        <v>836</v>
      </c>
      <c r="G125">
        <v>889</v>
      </c>
      <c r="H125">
        <v>931</v>
      </c>
      <c r="I125">
        <v>18</v>
      </c>
      <c r="J125">
        <v>705</v>
      </c>
      <c r="K125">
        <v>114</v>
      </c>
      <c r="L125">
        <v>322</v>
      </c>
      <c r="M125">
        <v>35</v>
      </c>
      <c r="N125">
        <v>334</v>
      </c>
      <c r="V125" s="10"/>
    </row>
    <row r="126" spans="1:22" x14ac:dyDescent="0.25">
      <c r="A126" s="10">
        <v>45423</v>
      </c>
      <c r="B126" t="s">
        <v>545</v>
      </c>
      <c r="C126" t="s">
        <v>587</v>
      </c>
      <c r="D126" t="s">
        <v>414</v>
      </c>
      <c r="E126">
        <v>276</v>
      </c>
      <c r="F126">
        <v>163</v>
      </c>
      <c r="G126">
        <v>906</v>
      </c>
      <c r="H126">
        <v>46</v>
      </c>
      <c r="I126">
        <v>566</v>
      </c>
      <c r="J126">
        <v>62</v>
      </c>
      <c r="K126">
        <v>729</v>
      </c>
      <c r="L126">
        <v>207</v>
      </c>
      <c r="M126">
        <v>690</v>
      </c>
      <c r="N126">
        <v>375</v>
      </c>
      <c r="V126" s="10"/>
    </row>
    <row r="127" spans="1:22" x14ac:dyDescent="0.25">
      <c r="A127" s="10">
        <v>45627</v>
      </c>
      <c r="B127" t="s">
        <v>546</v>
      </c>
      <c r="C127" t="s">
        <v>52</v>
      </c>
      <c r="D127" t="s">
        <v>411</v>
      </c>
      <c r="E127">
        <v>191</v>
      </c>
      <c r="F127">
        <v>111</v>
      </c>
      <c r="G127">
        <v>961</v>
      </c>
      <c r="H127">
        <v>888</v>
      </c>
      <c r="I127">
        <v>257</v>
      </c>
      <c r="J127">
        <v>612</v>
      </c>
      <c r="K127">
        <v>142</v>
      </c>
      <c r="L127">
        <v>930</v>
      </c>
      <c r="M127">
        <v>355</v>
      </c>
      <c r="N127">
        <v>666</v>
      </c>
      <c r="V127" s="10"/>
    </row>
    <row r="128" spans="1:22" x14ac:dyDescent="0.25">
      <c r="A128" s="10">
        <v>45597</v>
      </c>
      <c r="B128" t="s">
        <v>547</v>
      </c>
      <c r="C128" t="s">
        <v>15</v>
      </c>
      <c r="D128" t="s">
        <v>588</v>
      </c>
      <c r="E128">
        <v>399</v>
      </c>
      <c r="F128">
        <v>460</v>
      </c>
      <c r="G128">
        <v>469</v>
      </c>
      <c r="H128">
        <v>801</v>
      </c>
      <c r="I128">
        <v>696</v>
      </c>
      <c r="J128">
        <v>629</v>
      </c>
      <c r="K128">
        <v>647</v>
      </c>
      <c r="L128">
        <v>284</v>
      </c>
      <c r="M128">
        <v>394</v>
      </c>
      <c r="N128">
        <v>601</v>
      </c>
      <c r="V128" s="10"/>
    </row>
    <row r="129" spans="1:22" x14ac:dyDescent="0.25">
      <c r="A129" s="10">
        <v>45308</v>
      </c>
      <c r="B129" t="s">
        <v>548</v>
      </c>
      <c r="C129" t="s">
        <v>13</v>
      </c>
      <c r="D129" t="s">
        <v>193</v>
      </c>
      <c r="E129">
        <v>973</v>
      </c>
      <c r="F129">
        <v>531</v>
      </c>
      <c r="G129">
        <v>148</v>
      </c>
      <c r="H129">
        <v>908</v>
      </c>
      <c r="I129">
        <v>127</v>
      </c>
      <c r="J129">
        <v>530</v>
      </c>
      <c r="K129">
        <v>894</v>
      </c>
      <c r="L129">
        <v>222</v>
      </c>
      <c r="M129">
        <v>696</v>
      </c>
      <c r="N129">
        <v>789</v>
      </c>
      <c r="V129" s="10"/>
    </row>
    <row r="130" spans="1:22" x14ac:dyDescent="0.25">
      <c r="A130" s="10">
        <v>45609</v>
      </c>
      <c r="B130" t="s">
        <v>549</v>
      </c>
      <c r="C130" t="s">
        <v>12</v>
      </c>
      <c r="D130" t="s">
        <v>588</v>
      </c>
      <c r="E130">
        <v>512</v>
      </c>
      <c r="F130">
        <v>987</v>
      </c>
      <c r="G130">
        <v>587</v>
      </c>
      <c r="H130">
        <v>729</v>
      </c>
      <c r="I130">
        <v>108</v>
      </c>
      <c r="J130">
        <v>186</v>
      </c>
      <c r="K130">
        <v>481</v>
      </c>
      <c r="L130">
        <v>612</v>
      </c>
      <c r="M130">
        <v>131</v>
      </c>
      <c r="N130">
        <v>82</v>
      </c>
      <c r="V130" s="10"/>
    </row>
    <row r="131" spans="1:22" x14ac:dyDescent="0.25">
      <c r="A131" s="10">
        <v>45562</v>
      </c>
      <c r="B131" t="s">
        <v>550</v>
      </c>
      <c r="C131" t="s">
        <v>15</v>
      </c>
      <c r="D131" t="s">
        <v>414</v>
      </c>
      <c r="E131">
        <v>485</v>
      </c>
      <c r="F131">
        <v>201</v>
      </c>
      <c r="G131">
        <v>446</v>
      </c>
      <c r="H131">
        <v>120</v>
      </c>
      <c r="I131">
        <v>327</v>
      </c>
      <c r="J131">
        <v>126</v>
      </c>
      <c r="K131">
        <v>707</v>
      </c>
      <c r="L131">
        <v>635</v>
      </c>
      <c r="M131">
        <v>612</v>
      </c>
      <c r="N131">
        <v>992</v>
      </c>
      <c r="V131" s="10"/>
    </row>
    <row r="132" spans="1:22" x14ac:dyDescent="0.25">
      <c r="A132" s="10">
        <v>45305</v>
      </c>
      <c r="B132" t="s">
        <v>551</v>
      </c>
      <c r="C132" t="s">
        <v>587</v>
      </c>
      <c r="D132" t="s">
        <v>588</v>
      </c>
      <c r="E132">
        <v>570</v>
      </c>
      <c r="F132">
        <v>530</v>
      </c>
      <c r="G132">
        <v>211</v>
      </c>
      <c r="H132">
        <v>894</v>
      </c>
      <c r="I132">
        <v>461</v>
      </c>
      <c r="J132">
        <v>286</v>
      </c>
      <c r="K132">
        <v>897</v>
      </c>
      <c r="L132">
        <v>634</v>
      </c>
      <c r="M132">
        <v>672</v>
      </c>
      <c r="N132">
        <v>696</v>
      </c>
      <c r="V132" s="10"/>
    </row>
    <row r="133" spans="1:22" x14ac:dyDescent="0.25">
      <c r="A133" s="10">
        <v>45308</v>
      </c>
      <c r="B133" t="s">
        <v>552</v>
      </c>
      <c r="C133" t="s">
        <v>52</v>
      </c>
      <c r="D133" t="s">
        <v>193</v>
      </c>
      <c r="E133">
        <v>277</v>
      </c>
      <c r="F133">
        <v>656</v>
      </c>
      <c r="G133">
        <v>250</v>
      </c>
      <c r="H133">
        <v>570</v>
      </c>
      <c r="I133">
        <v>361</v>
      </c>
      <c r="J133">
        <v>991</v>
      </c>
      <c r="K133">
        <v>937</v>
      </c>
      <c r="L133">
        <v>527</v>
      </c>
      <c r="M133">
        <v>41</v>
      </c>
      <c r="N133">
        <v>720</v>
      </c>
      <c r="V133" s="10"/>
    </row>
    <row r="134" spans="1:22" x14ac:dyDescent="0.25">
      <c r="A134" s="10">
        <v>45523</v>
      </c>
      <c r="B134" t="s">
        <v>553</v>
      </c>
      <c r="C134" t="s">
        <v>587</v>
      </c>
      <c r="D134" t="s">
        <v>411</v>
      </c>
      <c r="E134">
        <v>941</v>
      </c>
      <c r="F134">
        <v>723</v>
      </c>
      <c r="G134">
        <v>194</v>
      </c>
      <c r="H134">
        <v>758</v>
      </c>
      <c r="I134">
        <v>993</v>
      </c>
      <c r="J134">
        <v>853</v>
      </c>
      <c r="K134">
        <v>559</v>
      </c>
      <c r="L134">
        <v>692</v>
      </c>
      <c r="M134">
        <v>352</v>
      </c>
      <c r="N134">
        <v>715</v>
      </c>
      <c r="V134" s="10"/>
    </row>
    <row r="135" spans="1:22" x14ac:dyDescent="0.25">
      <c r="A135" s="10">
        <v>45589</v>
      </c>
      <c r="B135" t="s">
        <v>554</v>
      </c>
      <c r="C135" t="s">
        <v>52</v>
      </c>
      <c r="D135" t="s">
        <v>413</v>
      </c>
      <c r="E135">
        <v>544</v>
      </c>
      <c r="F135">
        <v>683</v>
      </c>
      <c r="G135">
        <v>783</v>
      </c>
      <c r="H135">
        <v>83</v>
      </c>
      <c r="I135">
        <v>181</v>
      </c>
      <c r="J135">
        <v>252</v>
      </c>
      <c r="K135">
        <v>429</v>
      </c>
      <c r="L135">
        <v>445</v>
      </c>
      <c r="M135">
        <v>369</v>
      </c>
      <c r="N135">
        <v>673</v>
      </c>
      <c r="V135" s="10"/>
    </row>
    <row r="136" spans="1:22" x14ac:dyDescent="0.25">
      <c r="A136" s="10">
        <v>45563</v>
      </c>
      <c r="B136" t="s">
        <v>555</v>
      </c>
      <c r="C136" t="s">
        <v>13</v>
      </c>
      <c r="D136" t="s">
        <v>413</v>
      </c>
      <c r="E136">
        <v>818</v>
      </c>
      <c r="F136">
        <v>564</v>
      </c>
      <c r="G136">
        <v>956</v>
      </c>
      <c r="H136">
        <v>405</v>
      </c>
      <c r="I136">
        <v>72</v>
      </c>
      <c r="J136">
        <v>910</v>
      </c>
      <c r="K136">
        <v>876</v>
      </c>
      <c r="L136">
        <v>306</v>
      </c>
      <c r="M136">
        <v>719</v>
      </c>
      <c r="N136">
        <v>22</v>
      </c>
      <c r="V136" s="10"/>
    </row>
    <row r="137" spans="1:22" x14ac:dyDescent="0.25">
      <c r="A137" s="10">
        <v>45635</v>
      </c>
      <c r="B137" t="s">
        <v>556</v>
      </c>
      <c r="C137" t="s">
        <v>13</v>
      </c>
      <c r="D137" t="s">
        <v>419</v>
      </c>
      <c r="E137">
        <v>824</v>
      </c>
      <c r="F137">
        <v>107</v>
      </c>
      <c r="G137">
        <v>692</v>
      </c>
      <c r="H137">
        <v>78</v>
      </c>
      <c r="I137">
        <v>495</v>
      </c>
      <c r="J137">
        <v>97</v>
      </c>
      <c r="K137">
        <v>245</v>
      </c>
      <c r="L137">
        <v>526</v>
      </c>
      <c r="M137">
        <v>214</v>
      </c>
      <c r="N137">
        <v>464</v>
      </c>
      <c r="V137" s="10"/>
    </row>
    <row r="138" spans="1:22" x14ac:dyDescent="0.25">
      <c r="A138" s="10">
        <v>45390</v>
      </c>
      <c r="B138" t="s">
        <v>557</v>
      </c>
      <c r="C138" t="s">
        <v>12</v>
      </c>
      <c r="D138" t="s">
        <v>411</v>
      </c>
      <c r="E138">
        <v>877</v>
      </c>
      <c r="F138">
        <v>490</v>
      </c>
      <c r="G138">
        <v>402</v>
      </c>
      <c r="H138">
        <v>612</v>
      </c>
      <c r="I138">
        <v>994</v>
      </c>
      <c r="J138">
        <v>962</v>
      </c>
      <c r="K138">
        <v>428</v>
      </c>
      <c r="L138">
        <v>952</v>
      </c>
      <c r="M138">
        <v>594</v>
      </c>
      <c r="N138">
        <v>873</v>
      </c>
      <c r="V138" s="10"/>
    </row>
    <row r="139" spans="1:22" x14ac:dyDescent="0.25">
      <c r="A139" s="10">
        <v>45499</v>
      </c>
      <c r="B139" t="s">
        <v>558</v>
      </c>
      <c r="C139" t="s">
        <v>52</v>
      </c>
      <c r="D139" t="s">
        <v>411</v>
      </c>
      <c r="E139">
        <v>871</v>
      </c>
      <c r="F139">
        <v>635</v>
      </c>
      <c r="G139">
        <v>116</v>
      </c>
      <c r="H139">
        <v>182</v>
      </c>
      <c r="I139">
        <v>514</v>
      </c>
      <c r="J139">
        <v>150</v>
      </c>
      <c r="K139">
        <v>335</v>
      </c>
      <c r="L139">
        <v>647</v>
      </c>
      <c r="M139">
        <v>10</v>
      </c>
      <c r="N139">
        <v>876</v>
      </c>
      <c r="V139" s="10"/>
    </row>
    <row r="140" spans="1:22" x14ac:dyDescent="0.25">
      <c r="A140" s="10">
        <v>45580</v>
      </c>
      <c r="B140" t="s">
        <v>559</v>
      </c>
      <c r="C140" t="s">
        <v>13</v>
      </c>
      <c r="D140" t="s">
        <v>419</v>
      </c>
      <c r="E140">
        <v>556</v>
      </c>
      <c r="F140">
        <v>788</v>
      </c>
      <c r="G140">
        <v>761</v>
      </c>
      <c r="H140">
        <v>783</v>
      </c>
      <c r="I140">
        <v>309</v>
      </c>
      <c r="J140">
        <v>415</v>
      </c>
      <c r="K140">
        <v>867</v>
      </c>
      <c r="L140">
        <v>848</v>
      </c>
      <c r="M140">
        <v>335</v>
      </c>
      <c r="N140">
        <v>283</v>
      </c>
      <c r="V140" s="10"/>
    </row>
    <row r="141" spans="1:22" x14ac:dyDescent="0.25">
      <c r="A141" s="10">
        <v>45401</v>
      </c>
      <c r="B141" t="s">
        <v>560</v>
      </c>
      <c r="C141" t="s">
        <v>52</v>
      </c>
      <c r="D141" t="s">
        <v>193</v>
      </c>
      <c r="E141">
        <v>10</v>
      </c>
      <c r="F141">
        <v>135</v>
      </c>
      <c r="G141">
        <v>171</v>
      </c>
      <c r="H141">
        <v>732</v>
      </c>
      <c r="I141">
        <v>101</v>
      </c>
      <c r="J141">
        <v>198</v>
      </c>
      <c r="K141">
        <v>491</v>
      </c>
      <c r="L141">
        <v>311</v>
      </c>
      <c r="M141">
        <v>431</v>
      </c>
      <c r="N141">
        <v>113</v>
      </c>
      <c r="V141" s="10"/>
    </row>
    <row r="142" spans="1:22" x14ac:dyDescent="0.25">
      <c r="A142" s="10">
        <v>45627</v>
      </c>
      <c r="B142" t="s">
        <v>561</v>
      </c>
      <c r="C142" t="s">
        <v>190</v>
      </c>
      <c r="D142" t="s">
        <v>414</v>
      </c>
      <c r="E142">
        <v>247</v>
      </c>
      <c r="F142">
        <v>939</v>
      </c>
      <c r="G142">
        <v>326</v>
      </c>
      <c r="H142">
        <v>898</v>
      </c>
      <c r="I142">
        <v>439</v>
      </c>
      <c r="J142">
        <v>410</v>
      </c>
      <c r="K142">
        <v>158</v>
      </c>
      <c r="L142">
        <v>325</v>
      </c>
      <c r="M142">
        <v>326</v>
      </c>
      <c r="N142">
        <v>159</v>
      </c>
      <c r="V142" s="10"/>
    </row>
    <row r="143" spans="1:22" x14ac:dyDescent="0.25">
      <c r="A143" s="10">
        <v>45338</v>
      </c>
      <c r="B143" t="s">
        <v>562</v>
      </c>
      <c r="C143" t="s">
        <v>15</v>
      </c>
      <c r="D143" t="s">
        <v>411</v>
      </c>
      <c r="E143">
        <v>373</v>
      </c>
      <c r="F143">
        <v>676</v>
      </c>
      <c r="G143">
        <v>274</v>
      </c>
      <c r="H143">
        <v>881</v>
      </c>
      <c r="I143">
        <v>273</v>
      </c>
      <c r="J143">
        <v>796</v>
      </c>
      <c r="K143">
        <v>929</v>
      </c>
      <c r="L143">
        <v>661</v>
      </c>
      <c r="M143">
        <v>351</v>
      </c>
      <c r="N143">
        <v>986</v>
      </c>
      <c r="V143" s="10"/>
    </row>
    <row r="144" spans="1:22" x14ac:dyDescent="0.25">
      <c r="A144" s="10">
        <v>45535</v>
      </c>
      <c r="B144" t="s">
        <v>563</v>
      </c>
      <c r="C144" t="s">
        <v>13</v>
      </c>
      <c r="D144" t="s">
        <v>414</v>
      </c>
      <c r="E144">
        <v>784</v>
      </c>
      <c r="F144">
        <v>918</v>
      </c>
      <c r="G144">
        <v>418</v>
      </c>
      <c r="H144">
        <v>348</v>
      </c>
      <c r="I144">
        <v>602</v>
      </c>
      <c r="J144">
        <v>419</v>
      </c>
      <c r="K144">
        <v>458</v>
      </c>
      <c r="L144">
        <v>625</v>
      </c>
      <c r="M144">
        <v>400</v>
      </c>
      <c r="N144">
        <v>124</v>
      </c>
      <c r="V144" s="10"/>
    </row>
    <row r="145" spans="1:22" x14ac:dyDescent="0.25">
      <c r="A145" s="10">
        <v>45516</v>
      </c>
      <c r="B145" t="s">
        <v>564</v>
      </c>
      <c r="C145" t="s">
        <v>190</v>
      </c>
      <c r="D145" t="s">
        <v>419</v>
      </c>
      <c r="E145">
        <v>246</v>
      </c>
      <c r="F145">
        <v>440</v>
      </c>
      <c r="G145">
        <v>725</v>
      </c>
      <c r="H145">
        <v>76</v>
      </c>
      <c r="I145">
        <v>684</v>
      </c>
      <c r="J145">
        <v>286</v>
      </c>
      <c r="K145">
        <v>530</v>
      </c>
      <c r="L145">
        <v>226</v>
      </c>
      <c r="M145">
        <v>301</v>
      </c>
      <c r="N145">
        <v>934</v>
      </c>
      <c r="V145" s="10"/>
    </row>
    <row r="146" spans="1:22" x14ac:dyDescent="0.25">
      <c r="A146" s="10">
        <v>45566</v>
      </c>
      <c r="B146" t="s">
        <v>565</v>
      </c>
      <c r="C146" t="s">
        <v>12</v>
      </c>
      <c r="D146" t="s">
        <v>588</v>
      </c>
      <c r="E146">
        <v>276</v>
      </c>
      <c r="F146">
        <v>615</v>
      </c>
      <c r="G146">
        <v>470</v>
      </c>
      <c r="H146">
        <v>341</v>
      </c>
      <c r="I146">
        <v>590</v>
      </c>
      <c r="J146">
        <v>644</v>
      </c>
      <c r="K146">
        <v>587</v>
      </c>
      <c r="L146">
        <v>836</v>
      </c>
      <c r="M146">
        <v>910</v>
      </c>
      <c r="N146">
        <v>217</v>
      </c>
      <c r="V146" s="10"/>
    </row>
    <row r="147" spans="1:22" x14ac:dyDescent="0.25">
      <c r="A147" s="10">
        <v>45447</v>
      </c>
      <c r="B147" t="s">
        <v>566</v>
      </c>
      <c r="C147" t="s">
        <v>12</v>
      </c>
      <c r="D147" t="s">
        <v>413</v>
      </c>
      <c r="E147">
        <v>479</v>
      </c>
      <c r="F147">
        <v>787</v>
      </c>
      <c r="G147">
        <v>590</v>
      </c>
      <c r="H147">
        <v>612</v>
      </c>
      <c r="I147">
        <v>174</v>
      </c>
      <c r="J147">
        <v>613</v>
      </c>
      <c r="K147">
        <v>304</v>
      </c>
      <c r="L147">
        <v>125</v>
      </c>
      <c r="M147">
        <v>854</v>
      </c>
      <c r="N147">
        <v>231</v>
      </c>
      <c r="V147" s="10"/>
    </row>
    <row r="148" spans="1:22" x14ac:dyDescent="0.25">
      <c r="A148" s="10">
        <v>45308</v>
      </c>
      <c r="B148" t="s">
        <v>567</v>
      </c>
      <c r="C148" t="s">
        <v>13</v>
      </c>
      <c r="D148" t="s">
        <v>588</v>
      </c>
      <c r="E148">
        <v>867</v>
      </c>
      <c r="F148">
        <v>870</v>
      </c>
      <c r="G148">
        <v>835</v>
      </c>
      <c r="H148">
        <v>526</v>
      </c>
      <c r="I148">
        <v>431</v>
      </c>
      <c r="J148">
        <v>14</v>
      </c>
      <c r="K148">
        <v>836</v>
      </c>
      <c r="L148">
        <v>857</v>
      </c>
      <c r="M148">
        <v>885</v>
      </c>
      <c r="N148">
        <v>940</v>
      </c>
      <c r="V148" s="10"/>
    </row>
    <row r="149" spans="1:22" x14ac:dyDescent="0.25">
      <c r="A149" s="10">
        <v>45316</v>
      </c>
      <c r="B149" t="s">
        <v>568</v>
      </c>
      <c r="C149" t="s">
        <v>52</v>
      </c>
      <c r="D149" t="s">
        <v>414</v>
      </c>
      <c r="E149">
        <v>58</v>
      </c>
      <c r="F149">
        <v>972</v>
      </c>
      <c r="G149">
        <v>817</v>
      </c>
      <c r="H149">
        <v>187</v>
      </c>
      <c r="I149">
        <v>830</v>
      </c>
      <c r="J149">
        <v>174</v>
      </c>
      <c r="K149">
        <v>130</v>
      </c>
      <c r="L149">
        <v>130</v>
      </c>
      <c r="M149">
        <v>299</v>
      </c>
      <c r="N149">
        <v>558</v>
      </c>
      <c r="V149" s="10"/>
    </row>
    <row r="150" spans="1:22" x14ac:dyDescent="0.25">
      <c r="A150" s="10">
        <v>45614</v>
      </c>
      <c r="B150" t="s">
        <v>569</v>
      </c>
      <c r="C150" t="s">
        <v>587</v>
      </c>
      <c r="D150" t="s">
        <v>588</v>
      </c>
      <c r="E150">
        <v>334</v>
      </c>
      <c r="F150">
        <v>55</v>
      </c>
      <c r="G150">
        <v>936</v>
      </c>
      <c r="H150">
        <v>162</v>
      </c>
      <c r="I150">
        <v>869</v>
      </c>
      <c r="J150">
        <v>751</v>
      </c>
      <c r="K150">
        <v>581</v>
      </c>
      <c r="L150">
        <v>282</v>
      </c>
      <c r="M150">
        <v>492</v>
      </c>
      <c r="N150">
        <v>895</v>
      </c>
      <c r="V150" s="10"/>
    </row>
    <row r="151" spans="1:22" x14ac:dyDescent="0.25">
      <c r="A151" s="10">
        <v>45303</v>
      </c>
      <c r="B151" t="s">
        <v>570</v>
      </c>
      <c r="C151" t="s">
        <v>15</v>
      </c>
      <c r="D151" t="s">
        <v>419</v>
      </c>
      <c r="E151">
        <v>404</v>
      </c>
      <c r="F151">
        <v>58</v>
      </c>
      <c r="G151">
        <v>534</v>
      </c>
      <c r="H151">
        <v>655</v>
      </c>
      <c r="I151">
        <v>413</v>
      </c>
      <c r="J151">
        <v>204</v>
      </c>
      <c r="K151">
        <v>839</v>
      </c>
      <c r="L151">
        <v>716</v>
      </c>
      <c r="M151">
        <v>813</v>
      </c>
      <c r="N151">
        <v>774</v>
      </c>
      <c r="V151" s="10"/>
    </row>
    <row r="152" spans="1:22" x14ac:dyDescent="0.25">
      <c r="V152" s="10"/>
    </row>
    <row r="153" spans="1:22" x14ac:dyDescent="0.25">
      <c r="V153" s="10"/>
    </row>
    <row r="154" spans="1:22" x14ac:dyDescent="0.25">
      <c r="V154" s="10"/>
    </row>
    <row r="155" spans="1:22" x14ac:dyDescent="0.25">
      <c r="V155" s="10"/>
    </row>
    <row r="156" spans="1:22" x14ac:dyDescent="0.25">
      <c r="V156" s="10"/>
    </row>
    <row r="157" spans="1:22" x14ac:dyDescent="0.25">
      <c r="V157" s="10"/>
    </row>
    <row r="158" spans="1:22" x14ac:dyDescent="0.25">
      <c r="V158" s="10"/>
    </row>
    <row r="159" spans="1:22" x14ac:dyDescent="0.25">
      <c r="V159" s="10"/>
    </row>
    <row r="160" spans="1:22" x14ac:dyDescent="0.25">
      <c r="V160" s="10"/>
    </row>
    <row r="161" spans="22:22" x14ac:dyDescent="0.25">
      <c r="V161" s="10"/>
    </row>
  </sheetData>
  <conditionalFormatting sqref="P10">
    <cfRule type="cellIs" dxfId="20" priority="4" operator="between">
      <formula>$R$1</formula>
      <formula>$S$1</formula>
    </cfRule>
  </conditionalFormatting>
  <conditionalFormatting sqref="P58:P66">
    <cfRule type="cellIs" dxfId="19" priority="2" operator="between">
      <formula>$R$1</formula>
      <formula>$S$1</formula>
    </cfRule>
  </conditionalFormatting>
  <conditionalFormatting sqref="O29:O47">
    <cfRule type="cellIs" dxfId="18" priority="1" operator="between">
      <formula>$R$1</formula>
      <formula>$S$1</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E1FAB-880C-4FEA-9273-A2774EC28425}">
  <sheetPr codeName="Sheet1"/>
  <dimension ref="A3:K24"/>
  <sheetViews>
    <sheetView zoomScale="145" zoomScaleNormal="145" workbookViewId="0">
      <selection activeCell="M28" sqref="M28"/>
    </sheetView>
  </sheetViews>
  <sheetFormatPr defaultRowHeight="15" x14ac:dyDescent="0.25"/>
  <cols>
    <col min="1" max="1" width="13.140625" bestFit="1" customWidth="1"/>
    <col min="2" max="2" width="11" bestFit="1" customWidth="1"/>
    <col min="3" max="3" width="10.7109375" bestFit="1" customWidth="1"/>
    <col min="4" max="4" width="11.85546875" bestFit="1" customWidth="1"/>
    <col min="5" max="5" width="11.140625" bestFit="1" customWidth="1"/>
  </cols>
  <sheetData>
    <row r="3" spans="1:11" x14ac:dyDescent="0.25">
      <c r="A3" s="22" t="s">
        <v>571</v>
      </c>
      <c r="B3" t="s">
        <v>573</v>
      </c>
      <c r="C3" t="s">
        <v>574</v>
      </c>
      <c r="D3" t="s">
        <v>575</v>
      </c>
      <c r="E3" t="s">
        <v>576</v>
      </c>
    </row>
    <row r="4" spans="1:11" x14ac:dyDescent="0.25">
      <c r="A4" s="23" t="s">
        <v>193</v>
      </c>
      <c r="B4" s="11">
        <v>1598</v>
      </c>
      <c r="C4" s="11">
        <v>1549</v>
      </c>
      <c r="D4" s="11">
        <v>1636</v>
      </c>
      <c r="E4" s="11">
        <v>1593</v>
      </c>
    </row>
    <row r="5" spans="1:11" x14ac:dyDescent="0.25">
      <c r="A5" s="24" t="s">
        <v>14</v>
      </c>
      <c r="B5" s="11">
        <v>634</v>
      </c>
      <c r="C5" s="11">
        <v>502</v>
      </c>
      <c r="D5" s="11">
        <v>484</v>
      </c>
      <c r="E5" s="11">
        <v>524</v>
      </c>
    </row>
    <row r="6" spans="1:11" x14ac:dyDescent="0.25">
      <c r="A6" s="24" t="s">
        <v>52</v>
      </c>
      <c r="B6" s="11">
        <v>508</v>
      </c>
      <c r="C6" s="11">
        <v>583</v>
      </c>
      <c r="D6" s="11">
        <v>672</v>
      </c>
      <c r="E6" s="11">
        <v>549</v>
      </c>
    </row>
    <row r="7" spans="1:11" x14ac:dyDescent="0.25">
      <c r="A7" s="24" t="s">
        <v>12</v>
      </c>
      <c r="B7" s="11">
        <v>193</v>
      </c>
      <c r="C7" s="11">
        <v>219</v>
      </c>
      <c r="D7" s="11">
        <v>236</v>
      </c>
      <c r="E7" s="11">
        <v>312</v>
      </c>
    </row>
    <row r="8" spans="1:11" x14ac:dyDescent="0.25">
      <c r="A8" s="24" t="s">
        <v>13</v>
      </c>
      <c r="B8" s="11">
        <v>263</v>
      </c>
      <c r="C8" s="11">
        <v>245</v>
      </c>
      <c r="D8" s="11">
        <v>244</v>
      </c>
      <c r="E8" s="11">
        <v>208</v>
      </c>
    </row>
    <row r="9" spans="1:11" x14ac:dyDescent="0.25">
      <c r="A9" s="23" t="s">
        <v>420</v>
      </c>
      <c r="B9" s="11">
        <v>2225</v>
      </c>
      <c r="C9" s="11">
        <v>1883</v>
      </c>
      <c r="D9" s="11">
        <v>2038</v>
      </c>
      <c r="E9" s="11">
        <v>2222</v>
      </c>
    </row>
    <row r="10" spans="1:11" x14ac:dyDescent="0.25">
      <c r="A10" s="24" t="s">
        <v>14</v>
      </c>
      <c r="B10" s="11">
        <v>518</v>
      </c>
      <c r="C10" s="11">
        <v>381</v>
      </c>
      <c r="D10" s="11">
        <v>441</v>
      </c>
      <c r="E10" s="11">
        <v>446</v>
      </c>
    </row>
    <row r="11" spans="1:11" x14ac:dyDescent="0.25">
      <c r="A11" s="24" t="s">
        <v>52</v>
      </c>
      <c r="B11" s="11">
        <v>818</v>
      </c>
      <c r="C11" s="11">
        <v>639</v>
      </c>
      <c r="D11" s="11">
        <v>759</v>
      </c>
      <c r="E11" s="11">
        <v>812</v>
      </c>
    </row>
    <row r="12" spans="1:11" x14ac:dyDescent="0.25">
      <c r="A12" s="24" t="s">
        <v>12</v>
      </c>
      <c r="B12" s="11">
        <v>305</v>
      </c>
      <c r="C12" s="11">
        <v>184</v>
      </c>
      <c r="D12" s="11">
        <v>252</v>
      </c>
      <c r="E12" s="11">
        <v>413</v>
      </c>
    </row>
    <row r="13" spans="1:11" x14ac:dyDescent="0.25">
      <c r="A13" s="24" t="s">
        <v>13</v>
      </c>
      <c r="B13" s="11">
        <v>584</v>
      </c>
      <c r="C13" s="11">
        <v>679</v>
      </c>
      <c r="D13" s="11">
        <v>586</v>
      </c>
      <c r="E13" s="11">
        <v>551</v>
      </c>
      <c r="H13" t="str">
        <f>Slicer_PRODUCT</f>
        <v/>
      </c>
    </row>
    <row r="14" spans="1:11" x14ac:dyDescent="0.25">
      <c r="A14" s="23" t="s">
        <v>419</v>
      </c>
      <c r="B14" s="11">
        <v>1915</v>
      </c>
      <c r="C14" s="11">
        <v>1844</v>
      </c>
      <c r="D14" s="11">
        <v>1927</v>
      </c>
      <c r="E14" s="11">
        <v>1910</v>
      </c>
    </row>
    <row r="15" spans="1:11" x14ac:dyDescent="0.25">
      <c r="A15" s="24" t="s">
        <v>14</v>
      </c>
      <c r="B15" s="11">
        <v>246</v>
      </c>
      <c r="C15" s="11">
        <v>248</v>
      </c>
      <c r="D15" s="11">
        <v>337</v>
      </c>
      <c r="E15" s="11">
        <v>462</v>
      </c>
    </row>
    <row r="16" spans="1:11" x14ac:dyDescent="0.25">
      <c r="A16" s="24" t="s">
        <v>52</v>
      </c>
      <c r="B16" s="11">
        <v>380</v>
      </c>
      <c r="C16" s="11">
        <v>361</v>
      </c>
      <c r="D16" s="11">
        <v>342</v>
      </c>
      <c r="E16" s="11">
        <v>522</v>
      </c>
      <c r="K16" s="25"/>
    </row>
    <row r="17" spans="1:5" x14ac:dyDescent="0.25">
      <c r="A17" s="24" t="s">
        <v>12</v>
      </c>
      <c r="B17" s="11">
        <v>883</v>
      </c>
      <c r="C17" s="11">
        <v>916</v>
      </c>
      <c r="D17" s="11">
        <v>963</v>
      </c>
      <c r="E17" s="11">
        <v>606</v>
      </c>
    </row>
    <row r="18" spans="1:5" x14ac:dyDescent="0.25">
      <c r="A18" s="24" t="s">
        <v>13</v>
      </c>
      <c r="B18" s="11">
        <v>406</v>
      </c>
      <c r="C18" s="11">
        <v>319</v>
      </c>
      <c r="D18" s="11">
        <v>285</v>
      </c>
      <c r="E18" s="11">
        <v>320</v>
      </c>
    </row>
    <row r="19" spans="1:5" x14ac:dyDescent="0.25">
      <c r="A19" s="23" t="s">
        <v>414</v>
      </c>
      <c r="B19" s="11">
        <v>2516</v>
      </c>
      <c r="C19" s="11">
        <v>2037</v>
      </c>
      <c r="D19" s="11">
        <v>2066</v>
      </c>
      <c r="E19" s="11">
        <v>1888</v>
      </c>
    </row>
    <row r="20" spans="1:5" x14ac:dyDescent="0.25">
      <c r="A20" s="24" t="s">
        <v>14</v>
      </c>
      <c r="B20" s="11">
        <v>542</v>
      </c>
      <c r="C20" s="11">
        <v>465</v>
      </c>
      <c r="D20" s="11">
        <v>379</v>
      </c>
      <c r="E20" s="11">
        <v>211</v>
      </c>
    </row>
    <row r="21" spans="1:5" x14ac:dyDescent="0.25">
      <c r="A21" s="24" t="s">
        <v>52</v>
      </c>
      <c r="B21" s="11">
        <v>409</v>
      </c>
      <c r="C21" s="11">
        <v>335</v>
      </c>
      <c r="D21" s="11">
        <v>365</v>
      </c>
      <c r="E21" s="11">
        <v>295</v>
      </c>
    </row>
    <row r="22" spans="1:5" x14ac:dyDescent="0.25">
      <c r="A22" s="24" t="s">
        <v>12</v>
      </c>
      <c r="B22" s="11">
        <v>449</v>
      </c>
      <c r="C22" s="11">
        <v>473</v>
      </c>
      <c r="D22" s="11">
        <v>424</v>
      </c>
      <c r="E22" s="11">
        <v>415</v>
      </c>
    </row>
    <row r="23" spans="1:5" x14ac:dyDescent="0.25">
      <c r="A23" s="24" t="s">
        <v>13</v>
      </c>
      <c r="B23" s="11">
        <v>1116</v>
      </c>
      <c r="C23" s="11">
        <v>764</v>
      </c>
      <c r="D23" s="11">
        <v>898</v>
      </c>
      <c r="E23" s="11">
        <v>967</v>
      </c>
    </row>
    <row r="24" spans="1:5" x14ac:dyDescent="0.25">
      <c r="A24" s="23" t="s">
        <v>572</v>
      </c>
      <c r="B24" s="11">
        <v>8254</v>
      </c>
      <c r="C24" s="11">
        <v>7313</v>
      </c>
      <c r="D24" s="11">
        <v>7667</v>
      </c>
      <c r="E24" s="11">
        <v>7613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49B2A-ABAD-4128-8569-8F56E2A1B211}">
  <sheetPr codeName="Sheet4">
    <pageSetUpPr autoPageBreaks="0"/>
  </sheetPr>
  <dimension ref="A1:O151"/>
  <sheetViews>
    <sheetView zoomScaleNormal="100" workbookViewId="0">
      <selection activeCell="M28" sqref="M28"/>
    </sheetView>
  </sheetViews>
  <sheetFormatPr defaultRowHeight="15" x14ac:dyDescent="0.25"/>
  <cols>
    <col min="8" max="9" width="9.140625" customWidth="1"/>
  </cols>
  <sheetData>
    <row r="1" spans="1:15" x14ac:dyDescent="0.25">
      <c r="A1" t="s">
        <v>0</v>
      </c>
      <c r="B1" t="s">
        <v>397</v>
      </c>
      <c r="C1" t="s">
        <v>10</v>
      </c>
      <c r="D1" t="s">
        <v>251</v>
      </c>
      <c r="E1" t="s">
        <v>209</v>
      </c>
      <c r="F1" t="s">
        <v>252</v>
      </c>
      <c r="G1" t="s">
        <v>253</v>
      </c>
      <c r="H1" t="s">
        <v>254</v>
      </c>
      <c r="I1" t="s">
        <v>255</v>
      </c>
      <c r="J1" t="s">
        <v>249</v>
      </c>
      <c r="K1" t="s">
        <v>248</v>
      </c>
      <c r="L1" t="s">
        <v>256</v>
      </c>
      <c r="M1" t="s">
        <v>237</v>
      </c>
      <c r="N1" t="s">
        <v>238</v>
      </c>
      <c r="O1" t="s">
        <v>250</v>
      </c>
    </row>
    <row r="2" spans="1:15" x14ac:dyDescent="0.25">
      <c r="A2" t="s">
        <v>421</v>
      </c>
      <c r="B2" t="s">
        <v>193</v>
      </c>
      <c r="C2" t="s">
        <v>12</v>
      </c>
      <c r="D2">
        <v>7</v>
      </c>
      <c r="E2">
        <v>10</v>
      </c>
      <c r="F2">
        <v>16</v>
      </c>
      <c r="G2">
        <v>67</v>
      </c>
      <c r="H2">
        <v>76</v>
      </c>
      <c r="I2">
        <v>3</v>
      </c>
      <c r="J2">
        <v>92</v>
      </c>
      <c r="K2">
        <v>88</v>
      </c>
      <c r="L2">
        <v>25</v>
      </c>
      <c r="M2">
        <v>77</v>
      </c>
      <c r="N2">
        <v>45</v>
      </c>
      <c r="O2">
        <v>72</v>
      </c>
    </row>
    <row r="3" spans="1:15" x14ac:dyDescent="0.25">
      <c r="A3" t="s">
        <v>422</v>
      </c>
      <c r="B3" t="s">
        <v>420</v>
      </c>
      <c r="C3" t="s">
        <v>14</v>
      </c>
      <c r="D3">
        <v>62</v>
      </c>
      <c r="E3">
        <v>20</v>
      </c>
      <c r="F3">
        <v>45</v>
      </c>
      <c r="G3">
        <v>68</v>
      </c>
      <c r="H3">
        <v>37</v>
      </c>
      <c r="I3">
        <v>59</v>
      </c>
      <c r="J3">
        <v>64</v>
      </c>
      <c r="K3">
        <v>45</v>
      </c>
      <c r="L3">
        <v>17</v>
      </c>
      <c r="M3">
        <v>30</v>
      </c>
      <c r="N3">
        <v>47</v>
      </c>
      <c r="O3">
        <v>72</v>
      </c>
    </row>
    <row r="4" spans="1:15" x14ac:dyDescent="0.25">
      <c r="A4" t="s">
        <v>423</v>
      </c>
      <c r="B4" t="s">
        <v>419</v>
      </c>
      <c r="C4" t="s">
        <v>13</v>
      </c>
      <c r="D4">
        <v>17</v>
      </c>
      <c r="E4">
        <v>49</v>
      </c>
      <c r="F4">
        <v>4</v>
      </c>
      <c r="G4">
        <v>8</v>
      </c>
      <c r="H4">
        <v>91</v>
      </c>
      <c r="I4">
        <v>73</v>
      </c>
      <c r="J4">
        <v>51</v>
      </c>
      <c r="K4">
        <v>54</v>
      </c>
      <c r="L4">
        <v>18</v>
      </c>
      <c r="M4">
        <v>97</v>
      </c>
      <c r="N4">
        <v>21</v>
      </c>
      <c r="O4">
        <v>73</v>
      </c>
    </row>
    <row r="5" spans="1:15" x14ac:dyDescent="0.25">
      <c r="A5" t="s">
        <v>424</v>
      </c>
      <c r="B5" t="s">
        <v>420</v>
      </c>
      <c r="C5" t="s">
        <v>52</v>
      </c>
      <c r="D5">
        <v>76</v>
      </c>
      <c r="E5">
        <v>3</v>
      </c>
      <c r="F5">
        <v>30</v>
      </c>
      <c r="G5">
        <v>89</v>
      </c>
      <c r="H5">
        <v>39</v>
      </c>
      <c r="I5">
        <v>96</v>
      </c>
      <c r="J5">
        <v>76</v>
      </c>
      <c r="K5">
        <v>37</v>
      </c>
      <c r="L5">
        <v>46</v>
      </c>
      <c r="M5">
        <v>98</v>
      </c>
      <c r="N5">
        <v>32</v>
      </c>
      <c r="O5">
        <v>94</v>
      </c>
    </row>
    <row r="6" spans="1:15" x14ac:dyDescent="0.25">
      <c r="A6" t="s">
        <v>425</v>
      </c>
      <c r="B6" t="s">
        <v>419</v>
      </c>
      <c r="C6" t="s">
        <v>12</v>
      </c>
      <c r="D6">
        <v>78</v>
      </c>
      <c r="E6">
        <v>73</v>
      </c>
      <c r="F6">
        <v>2</v>
      </c>
      <c r="G6">
        <v>31</v>
      </c>
      <c r="H6">
        <v>16</v>
      </c>
      <c r="I6">
        <v>13</v>
      </c>
      <c r="J6">
        <v>38</v>
      </c>
      <c r="K6">
        <v>72</v>
      </c>
      <c r="L6">
        <v>22</v>
      </c>
      <c r="M6">
        <v>61</v>
      </c>
      <c r="N6">
        <v>10</v>
      </c>
      <c r="O6">
        <v>96</v>
      </c>
    </row>
    <row r="7" spans="1:15" x14ac:dyDescent="0.25">
      <c r="A7" t="s">
        <v>426</v>
      </c>
      <c r="B7" t="s">
        <v>193</v>
      </c>
      <c r="C7" t="s">
        <v>52</v>
      </c>
      <c r="D7">
        <v>10</v>
      </c>
      <c r="E7">
        <v>9</v>
      </c>
      <c r="F7">
        <v>29</v>
      </c>
      <c r="G7">
        <v>36</v>
      </c>
      <c r="H7">
        <v>48</v>
      </c>
      <c r="I7">
        <v>32</v>
      </c>
      <c r="J7">
        <v>87</v>
      </c>
      <c r="K7">
        <v>50</v>
      </c>
      <c r="L7">
        <v>15</v>
      </c>
      <c r="M7">
        <v>84</v>
      </c>
      <c r="N7">
        <v>35</v>
      </c>
      <c r="O7">
        <v>52</v>
      </c>
    </row>
    <row r="8" spans="1:15" x14ac:dyDescent="0.25">
      <c r="A8" t="s">
        <v>427</v>
      </c>
      <c r="B8" t="s">
        <v>414</v>
      </c>
      <c r="C8" t="s">
        <v>14</v>
      </c>
      <c r="D8">
        <v>94</v>
      </c>
      <c r="E8">
        <v>41</v>
      </c>
      <c r="F8">
        <v>25</v>
      </c>
      <c r="G8">
        <v>32</v>
      </c>
      <c r="H8">
        <v>2</v>
      </c>
      <c r="I8">
        <v>36</v>
      </c>
      <c r="J8">
        <v>40</v>
      </c>
      <c r="K8">
        <v>47</v>
      </c>
      <c r="L8">
        <v>26</v>
      </c>
      <c r="M8">
        <v>31</v>
      </c>
      <c r="N8">
        <v>27</v>
      </c>
      <c r="O8">
        <v>37</v>
      </c>
    </row>
    <row r="9" spans="1:15" x14ac:dyDescent="0.25">
      <c r="A9" t="s">
        <v>428</v>
      </c>
      <c r="B9" t="s">
        <v>420</v>
      </c>
      <c r="C9" t="s">
        <v>52</v>
      </c>
      <c r="D9">
        <v>65</v>
      </c>
      <c r="E9">
        <v>13</v>
      </c>
      <c r="F9">
        <v>75</v>
      </c>
      <c r="G9">
        <v>92</v>
      </c>
      <c r="H9">
        <v>77</v>
      </c>
      <c r="I9">
        <v>63</v>
      </c>
      <c r="J9">
        <v>37</v>
      </c>
      <c r="K9">
        <v>11</v>
      </c>
      <c r="L9">
        <v>95</v>
      </c>
      <c r="M9">
        <v>35</v>
      </c>
      <c r="N9">
        <v>48</v>
      </c>
      <c r="O9">
        <v>95</v>
      </c>
    </row>
    <row r="10" spans="1:15" x14ac:dyDescent="0.25">
      <c r="A10" t="s">
        <v>429</v>
      </c>
      <c r="B10" t="s">
        <v>420</v>
      </c>
      <c r="C10" t="s">
        <v>52</v>
      </c>
      <c r="D10">
        <v>90</v>
      </c>
      <c r="E10">
        <v>13</v>
      </c>
      <c r="F10">
        <v>83</v>
      </c>
      <c r="G10">
        <v>98</v>
      </c>
      <c r="H10">
        <v>88</v>
      </c>
      <c r="I10">
        <v>83</v>
      </c>
      <c r="J10">
        <v>24</v>
      </c>
      <c r="K10">
        <v>58</v>
      </c>
      <c r="L10">
        <v>13</v>
      </c>
      <c r="M10">
        <v>66</v>
      </c>
      <c r="N10">
        <v>66</v>
      </c>
      <c r="O10">
        <v>54</v>
      </c>
    </row>
    <row r="11" spans="1:15" x14ac:dyDescent="0.25">
      <c r="A11" t="s">
        <v>430</v>
      </c>
      <c r="B11" t="s">
        <v>419</v>
      </c>
      <c r="C11" t="s">
        <v>14</v>
      </c>
      <c r="D11">
        <v>82</v>
      </c>
      <c r="E11">
        <v>54</v>
      </c>
      <c r="F11">
        <v>9</v>
      </c>
      <c r="G11">
        <v>85</v>
      </c>
      <c r="H11">
        <v>93</v>
      </c>
      <c r="I11">
        <v>21</v>
      </c>
      <c r="J11">
        <v>5</v>
      </c>
      <c r="K11">
        <v>83</v>
      </c>
      <c r="L11">
        <v>32</v>
      </c>
      <c r="M11">
        <v>59</v>
      </c>
      <c r="N11">
        <v>19</v>
      </c>
      <c r="O11">
        <v>31</v>
      </c>
    </row>
    <row r="12" spans="1:15" x14ac:dyDescent="0.25">
      <c r="A12" t="s">
        <v>431</v>
      </c>
      <c r="B12" t="s">
        <v>419</v>
      </c>
      <c r="C12" t="s">
        <v>52</v>
      </c>
      <c r="D12">
        <v>37</v>
      </c>
      <c r="E12">
        <v>33</v>
      </c>
      <c r="F12">
        <v>40</v>
      </c>
      <c r="G12">
        <v>43</v>
      </c>
      <c r="H12">
        <v>2</v>
      </c>
      <c r="I12">
        <v>75</v>
      </c>
      <c r="J12">
        <v>88</v>
      </c>
      <c r="K12">
        <v>80</v>
      </c>
      <c r="L12">
        <v>11</v>
      </c>
      <c r="M12">
        <v>27</v>
      </c>
      <c r="N12">
        <v>29</v>
      </c>
      <c r="O12">
        <v>98</v>
      </c>
    </row>
    <row r="13" spans="1:15" x14ac:dyDescent="0.25">
      <c r="A13" t="s">
        <v>432</v>
      </c>
      <c r="B13" t="s">
        <v>420</v>
      </c>
      <c r="C13" t="s">
        <v>52</v>
      </c>
      <c r="D13">
        <v>5</v>
      </c>
      <c r="E13">
        <v>87</v>
      </c>
      <c r="F13">
        <v>34</v>
      </c>
      <c r="G13">
        <v>19</v>
      </c>
      <c r="H13">
        <v>18</v>
      </c>
      <c r="I13">
        <v>21</v>
      </c>
      <c r="J13">
        <v>32</v>
      </c>
      <c r="K13">
        <v>100</v>
      </c>
      <c r="L13">
        <v>44</v>
      </c>
      <c r="M13">
        <v>95</v>
      </c>
      <c r="N13">
        <v>40</v>
      </c>
      <c r="O13">
        <v>72</v>
      </c>
    </row>
    <row r="14" spans="1:15" x14ac:dyDescent="0.25">
      <c r="A14" t="s">
        <v>433</v>
      </c>
      <c r="B14" t="s">
        <v>420</v>
      </c>
      <c r="C14" t="s">
        <v>12</v>
      </c>
      <c r="D14">
        <v>44</v>
      </c>
      <c r="E14">
        <v>19</v>
      </c>
      <c r="F14">
        <v>33</v>
      </c>
      <c r="G14">
        <v>100</v>
      </c>
      <c r="H14">
        <v>14</v>
      </c>
      <c r="I14">
        <v>31</v>
      </c>
      <c r="J14">
        <v>50</v>
      </c>
      <c r="K14">
        <v>19</v>
      </c>
      <c r="L14">
        <v>21</v>
      </c>
      <c r="M14">
        <v>60</v>
      </c>
      <c r="N14">
        <v>69</v>
      </c>
      <c r="O14">
        <v>72</v>
      </c>
    </row>
    <row r="15" spans="1:15" x14ac:dyDescent="0.25">
      <c r="A15" t="s">
        <v>434</v>
      </c>
      <c r="B15" t="s">
        <v>414</v>
      </c>
      <c r="C15" t="s">
        <v>12</v>
      </c>
      <c r="D15">
        <v>7</v>
      </c>
      <c r="E15">
        <v>53</v>
      </c>
      <c r="F15">
        <v>34</v>
      </c>
      <c r="G15">
        <v>5</v>
      </c>
      <c r="H15">
        <v>90</v>
      </c>
      <c r="I15">
        <v>97</v>
      </c>
      <c r="J15">
        <v>53</v>
      </c>
      <c r="K15">
        <v>86</v>
      </c>
      <c r="L15">
        <v>39</v>
      </c>
      <c r="M15">
        <v>77</v>
      </c>
      <c r="N15">
        <v>3</v>
      </c>
      <c r="O15">
        <v>57</v>
      </c>
    </row>
    <row r="16" spans="1:15" x14ac:dyDescent="0.25">
      <c r="A16" t="s">
        <v>435</v>
      </c>
      <c r="B16" t="s">
        <v>419</v>
      </c>
      <c r="C16" t="s">
        <v>52</v>
      </c>
      <c r="D16">
        <v>75</v>
      </c>
      <c r="E16">
        <v>19</v>
      </c>
      <c r="F16">
        <v>18</v>
      </c>
      <c r="G16">
        <v>61</v>
      </c>
      <c r="H16">
        <v>76</v>
      </c>
      <c r="I16">
        <v>21</v>
      </c>
      <c r="J16">
        <v>49</v>
      </c>
      <c r="K16">
        <v>6</v>
      </c>
      <c r="L16">
        <v>14</v>
      </c>
      <c r="M16">
        <v>63</v>
      </c>
      <c r="N16">
        <v>19</v>
      </c>
      <c r="O16">
        <v>87</v>
      </c>
    </row>
    <row r="17" spans="1:15" x14ac:dyDescent="0.25">
      <c r="A17" t="s">
        <v>436</v>
      </c>
      <c r="B17" t="s">
        <v>414</v>
      </c>
      <c r="C17" t="s">
        <v>12</v>
      </c>
      <c r="D17">
        <v>80</v>
      </c>
      <c r="E17">
        <v>56</v>
      </c>
      <c r="F17">
        <v>8</v>
      </c>
      <c r="G17">
        <v>62</v>
      </c>
      <c r="H17">
        <v>82</v>
      </c>
      <c r="I17">
        <v>2</v>
      </c>
      <c r="J17">
        <v>77</v>
      </c>
      <c r="K17">
        <v>35</v>
      </c>
      <c r="L17">
        <v>51</v>
      </c>
      <c r="M17">
        <v>80</v>
      </c>
      <c r="N17">
        <v>8</v>
      </c>
      <c r="O17">
        <v>52</v>
      </c>
    </row>
    <row r="18" spans="1:15" x14ac:dyDescent="0.25">
      <c r="A18" t="s">
        <v>437</v>
      </c>
      <c r="B18" t="s">
        <v>414</v>
      </c>
      <c r="C18" t="s">
        <v>13</v>
      </c>
      <c r="D18">
        <v>83</v>
      </c>
      <c r="E18">
        <v>14</v>
      </c>
      <c r="F18">
        <v>14</v>
      </c>
      <c r="G18">
        <v>84</v>
      </c>
      <c r="H18">
        <v>33</v>
      </c>
      <c r="I18">
        <v>38</v>
      </c>
      <c r="J18">
        <v>66</v>
      </c>
      <c r="K18">
        <v>94</v>
      </c>
      <c r="L18">
        <v>27</v>
      </c>
      <c r="M18">
        <v>84</v>
      </c>
      <c r="N18">
        <v>54</v>
      </c>
      <c r="O18">
        <v>83</v>
      </c>
    </row>
    <row r="19" spans="1:15" x14ac:dyDescent="0.25">
      <c r="A19" t="s">
        <v>438</v>
      </c>
      <c r="B19" t="s">
        <v>414</v>
      </c>
      <c r="C19" t="s">
        <v>52</v>
      </c>
      <c r="D19">
        <v>9</v>
      </c>
      <c r="E19">
        <v>66</v>
      </c>
      <c r="F19">
        <v>26</v>
      </c>
      <c r="G19">
        <v>80</v>
      </c>
      <c r="H19">
        <v>26</v>
      </c>
      <c r="I19">
        <v>50</v>
      </c>
      <c r="J19">
        <v>51</v>
      </c>
      <c r="K19">
        <v>41</v>
      </c>
      <c r="L19">
        <v>34</v>
      </c>
      <c r="M19">
        <v>81</v>
      </c>
      <c r="N19">
        <v>16</v>
      </c>
      <c r="O19">
        <v>75</v>
      </c>
    </row>
    <row r="20" spans="1:15" x14ac:dyDescent="0.25">
      <c r="A20" t="s">
        <v>439</v>
      </c>
      <c r="B20" t="s">
        <v>419</v>
      </c>
      <c r="C20" t="s">
        <v>52</v>
      </c>
      <c r="D20">
        <v>46</v>
      </c>
      <c r="E20">
        <v>65</v>
      </c>
      <c r="F20">
        <v>16</v>
      </c>
      <c r="G20">
        <v>46</v>
      </c>
      <c r="H20">
        <v>19</v>
      </c>
      <c r="I20">
        <v>89</v>
      </c>
      <c r="J20">
        <v>24</v>
      </c>
      <c r="K20">
        <v>69</v>
      </c>
      <c r="L20">
        <v>1</v>
      </c>
      <c r="M20">
        <v>77</v>
      </c>
      <c r="N20">
        <v>18</v>
      </c>
      <c r="O20">
        <v>64</v>
      </c>
    </row>
    <row r="21" spans="1:15" x14ac:dyDescent="0.25">
      <c r="A21" t="s">
        <v>440</v>
      </c>
      <c r="B21" t="s">
        <v>419</v>
      </c>
      <c r="C21" t="s">
        <v>52</v>
      </c>
      <c r="D21">
        <v>2</v>
      </c>
      <c r="E21">
        <v>72</v>
      </c>
      <c r="F21">
        <v>17</v>
      </c>
      <c r="G21">
        <v>91</v>
      </c>
      <c r="H21">
        <v>64</v>
      </c>
      <c r="I21">
        <v>78</v>
      </c>
      <c r="J21">
        <v>95</v>
      </c>
      <c r="K21">
        <v>93</v>
      </c>
      <c r="L21">
        <v>95</v>
      </c>
      <c r="M21">
        <v>63</v>
      </c>
      <c r="N21">
        <v>33</v>
      </c>
      <c r="O21">
        <v>95</v>
      </c>
    </row>
    <row r="22" spans="1:15" x14ac:dyDescent="0.25">
      <c r="A22" t="s">
        <v>441</v>
      </c>
      <c r="B22" t="s">
        <v>419</v>
      </c>
      <c r="C22" t="s">
        <v>12</v>
      </c>
      <c r="D22">
        <v>52</v>
      </c>
      <c r="E22">
        <v>46</v>
      </c>
      <c r="F22">
        <v>49</v>
      </c>
      <c r="G22">
        <v>3</v>
      </c>
      <c r="H22">
        <v>90</v>
      </c>
      <c r="I22">
        <v>85</v>
      </c>
      <c r="J22">
        <v>44</v>
      </c>
      <c r="K22">
        <v>92</v>
      </c>
      <c r="L22">
        <v>35</v>
      </c>
      <c r="M22">
        <v>100</v>
      </c>
      <c r="N22">
        <v>95</v>
      </c>
      <c r="O22">
        <v>41</v>
      </c>
    </row>
    <row r="23" spans="1:15" x14ac:dyDescent="0.25">
      <c r="A23" t="s">
        <v>442</v>
      </c>
      <c r="B23" t="s">
        <v>414</v>
      </c>
      <c r="C23" t="s">
        <v>13</v>
      </c>
      <c r="D23">
        <v>42</v>
      </c>
      <c r="E23">
        <v>3</v>
      </c>
      <c r="F23">
        <v>67</v>
      </c>
      <c r="G23">
        <v>52</v>
      </c>
      <c r="H23">
        <v>87</v>
      </c>
      <c r="I23">
        <v>38</v>
      </c>
      <c r="J23">
        <v>9</v>
      </c>
      <c r="K23">
        <v>65</v>
      </c>
      <c r="L23">
        <v>51</v>
      </c>
      <c r="M23">
        <v>70</v>
      </c>
      <c r="N23">
        <v>61</v>
      </c>
      <c r="O23">
        <v>21</v>
      </c>
    </row>
    <row r="24" spans="1:15" x14ac:dyDescent="0.25">
      <c r="A24" t="s">
        <v>443</v>
      </c>
      <c r="B24" t="s">
        <v>420</v>
      </c>
      <c r="C24" t="s">
        <v>12</v>
      </c>
      <c r="D24">
        <v>83</v>
      </c>
      <c r="E24">
        <v>31</v>
      </c>
      <c r="F24">
        <v>25</v>
      </c>
      <c r="G24">
        <v>83</v>
      </c>
      <c r="H24">
        <v>23</v>
      </c>
      <c r="I24">
        <v>23</v>
      </c>
      <c r="J24">
        <v>86</v>
      </c>
      <c r="K24">
        <v>46</v>
      </c>
      <c r="L24">
        <v>3</v>
      </c>
      <c r="M24">
        <v>35</v>
      </c>
      <c r="N24">
        <v>51</v>
      </c>
      <c r="O24">
        <v>5</v>
      </c>
    </row>
    <row r="25" spans="1:15" x14ac:dyDescent="0.25">
      <c r="A25" t="s">
        <v>444</v>
      </c>
      <c r="B25" t="s">
        <v>414</v>
      </c>
      <c r="C25" t="s">
        <v>52</v>
      </c>
      <c r="D25">
        <v>86</v>
      </c>
      <c r="E25">
        <v>25</v>
      </c>
      <c r="F25">
        <v>7</v>
      </c>
      <c r="G25">
        <v>16</v>
      </c>
      <c r="H25">
        <v>75</v>
      </c>
      <c r="I25">
        <v>74</v>
      </c>
      <c r="J25">
        <v>42</v>
      </c>
      <c r="K25">
        <v>30</v>
      </c>
      <c r="L25">
        <v>32</v>
      </c>
      <c r="M25">
        <v>20</v>
      </c>
      <c r="N25">
        <v>22</v>
      </c>
      <c r="O25">
        <v>15</v>
      </c>
    </row>
    <row r="26" spans="1:15" x14ac:dyDescent="0.25">
      <c r="A26" t="s">
        <v>445</v>
      </c>
      <c r="B26" t="s">
        <v>420</v>
      </c>
      <c r="C26" t="s">
        <v>52</v>
      </c>
      <c r="D26">
        <v>74</v>
      </c>
      <c r="E26">
        <v>99</v>
      </c>
      <c r="F26">
        <v>87</v>
      </c>
      <c r="G26">
        <v>35</v>
      </c>
      <c r="H26">
        <v>42</v>
      </c>
      <c r="I26">
        <v>24</v>
      </c>
      <c r="J26">
        <v>55</v>
      </c>
      <c r="K26">
        <v>13</v>
      </c>
      <c r="L26">
        <v>16</v>
      </c>
      <c r="M26">
        <v>9</v>
      </c>
      <c r="N26">
        <v>67</v>
      </c>
      <c r="O26">
        <v>75</v>
      </c>
    </row>
    <row r="27" spans="1:15" x14ac:dyDescent="0.25">
      <c r="A27" t="s">
        <v>446</v>
      </c>
      <c r="B27" t="s">
        <v>414</v>
      </c>
      <c r="C27" t="s">
        <v>14</v>
      </c>
      <c r="D27">
        <v>89</v>
      </c>
      <c r="E27">
        <v>78</v>
      </c>
      <c r="F27">
        <v>82</v>
      </c>
      <c r="G27">
        <v>17</v>
      </c>
      <c r="H27">
        <v>81</v>
      </c>
      <c r="I27">
        <v>44</v>
      </c>
      <c r="J27">
        <v>67</v>
      </c>
      <c r="K27">
        <v>83</v>
      </c>
      <c r="L27">
        <v>44</v>
      </c>
      <c r="M27">
        <v>41</v>
      </c>
      <c r="N27">
        <v>75</v>
      </c>
      <c r="O27">
        <v>17</v>
      </c>
    </row>
    <row r="28" spans="1:15" x14ac:dyDescent="0.25">
      <c r="A28" t="s">
        <v>447</v>
      </c>
      <c r="B28" t="s">
        <v>420</v>
      </c>
      <c r="C28" t="s">
        <v>14</v>
      </c>
      <c r="D28">
        <v>1</v>
      </c>
      <c r="E28">
        <v>58</v>
      </c>
      <c r="F28">
        <v>95</v>
      </c>
      <c r="G28">
        <v>41</v>
      </c>
      <c r="H28">
        <v>6</v>
      </c>
      <c r="I28">
        <v>78</v>
      </c>
      <c r="J28">
        <v>99</v>
      </c>
      <c r="K28">
        <v>15</v>
      </c>
      <c r="L28">
        <v>82</v>
      </c>
      <c r="M28">
        <v>79</v>
      </c>
      <c r="N28">
        <v>45</v>
      </c>
      <c r="O28">
        <v>67</v>
      </c>
    </row>
    <row r="29" spans="1:15" x14ac:dyDescent="0.25">
      <c r="A29" t="s">
        <v>448</v>
      </c>
      <c r="B29" t="s">
        <v>193</v>
      </c>
      <c r="C29" t="s">
        <v>14</v>
      </c>
      <c r="D29">
        <v>53</v>
      </c>
      <c r="E29">
        <v>33</v>
      </c>
      <c r="F29">
        <v>84</v>
      </c>
      <c r="G29">
        <v>90</v>
      </c>
      <c r="H29">
        <v>42</v>
      </c>
      <c r="I29">
        <v>78</v>
      </c>
      <c r="J29">
        <v>86</v>
      </c>
      <c r="K29">
        <v>3</v>
      </c>
      <c r="L29">
        <v>27</v>
      </c>
      <c r="M29">
        <v>15</v>
      </c>
      <c r="N29">
        <v>35</v>
      </c>
      <c r="O29">
        <v>40</v>
      </c>
    </row>
    <row r="30" spans="1:15" x14ac:dyDescent="0.25">
      <c r="A30" t="s">
        <v>449</v>
      </c>
      <c r="B30" t="s">
        <v>419</v>
      </c>
      <c r="C30" t="s">
        <v>13</v>
      </c>
      <c r="D30">
        <v>88</v>
      </c>
      <c r="E30">
        <v>26</v>
      </c>
      <c r="F30">
        <v>13</v>
      </c>
      <c r="G30">
        <v>35</v>
      </c>
      <c r="H30">
        <v>74</v>
      </c>
      <c r="I30">
        <v>86</v>
      </c>
      <c r="J30">
        <v>26</v>
      </c>
      <c r="K30">
        <v>27</v>
      </c>
      <c r="L30">
        <v>37</v>
      </c>
      <c r="M30">
        <v>87</v>
      </c>
      <c r="N30">
        <v>6</v>
      </c>
      <c r="O30">
        <v>57</v>
      </c>
    </row>
    <row r="31" spans="1:15" x14ac:dyDescent="0.25">
      <c r="A31" t="s">
        <v>450</v>
      </c>
      <c r="B31" t="s">
        <v>419</v>
      </c>
      <c r="C31" t="s">
        <v>52</v>
      </c>
      <c r="D31">
        <v>10</v>
      </c>
      <c r="E31">
        <v>2</v>
      </c>
      <c r="F31">
        <v>31</v>
      </c>
      <c r="G31">
        <v>52</v>
      </c>
      <c r="H31">
        <v>74</v>
      </c>
      <c r="I31">
        <v>10</v>
      </c>
      <c r="J31">
        <v>37</v>
      </c>
      <c r="K31">
        <v>76</v>
      </c>
      <c r="L31">
        <v>11</v>
      </c>
      <c r="M31">
        <v>88</v>
      </c>
      <c r="N31">
        <v>1</v>
      </c>
      <c r="O31">
        <v>30</v>
      </c>
    </row>
    <row r="32" spans="1:15" x14ac:dyDescent="0.25">
      <c r="A32" t="s">
        <v>451</v>
      </c>
      <c r="B32" t="s">
        <v>420</v>
      </c>
      <c r="C32" t="s">
        <v>52</v>
      </c>
      <c r="D32">
        <v>65</v>
      </c>
      <c r="E32">
        <v>90</v>
      </c>
      <c r="F32">
        <v>47</v>
      </c>
      <c r="G32">
        <v>95</v>
      </c>
      <c r="H32">
        <v>73</v>
      </c>
      <c r="I32">
        <v>91</v>
      </c>
      <c r="J32">
        <v>28</v>
      </c>
      <c r="K32">
        <v>59</v>
      </c>
      <c r="L32">
        <v>93</v>
      </c>
      <c r="M32">
        <v>56</v>
      </c>
      <c r="N32">
        <v>94</v>
      </c>
      <c r="O32">
        <v>38</v>
      </c>
    </row>
    <row r="33" spans="1:15" x14ac:dyDescent="0.25">
      <c r="A33" t="s">
        <v>452</v>
      </c>
      <c r="B33" t="s">
        <v>419</v>
      </c>
      <c r="C33" t="s">
        <v>14</v>
      </c>
      <c r="D33">
        <v>16</v>
      </c>
      <c r="E33">
        <v>86</v>
      </c>
      <c r="F33">
        <v>41</v>
      </c>
      <c r="G33">
        <v>88</v>
      </c>
      <c r="H33">
        <v>14</v>
      </c>
      <c r="I33">
        <v>69</v>
      </c>
      <c r="J33">
        <v>99</v>
      </c>
      <c r="K33">
        <v>48</v>
      </c>
      <c r="L33">
        <v>16</v>
      </c>
      <c r="M33">
        <v>61</v>
      </c>
      <c r="N33">
        <v>96</v>
      </c>
      <c r="O33">
        <v>79</v>
      </c>
    </row>
    <row r="34" spans="1:15" x14ac:dyDescent="0.25">
      <c r="A34" t="s">
        <v>453</v>
      </c>
      <c r="B34" t="s">
        <v>420</v>
      </c>
      <c r="C34" t="s">
        <v>52</v>
      </c>
      <c r="D34">
        <v>60</v>
      </c>
      <c r="E34">
        <v>48</v>
      </c>
      <c r="F34">
        <v>65</v>
      </c>
      <c r="G34">
        <v>54</v>
      </c>
      <c r="H34">
        <v>80</v>
      </c>
      <c r="I34">
        <v>31</v>
      </c>
      <c r="J34">
        <v>79</v>
      </c>
      <c r="K34">
        <v>16</v>
      </c>
      <c r="L34">
        <v>84</v>
      </c>
      <c r="M34">
        <v>73</v>
      </c>
      <c r="N34">
        <v>70</v>
      </c>
      <c r="O34">
        <v>30</v>
      </c>
    </row>
    <row r="35" spans="1:15" x14ac:dyDescent="0.25">
      <c r="A35" t="s">
        <v>454</v>
      </c>
      <c r="B35" t="s">
        <v>419</v>
      </c>
      <c r="C35" t="s">
        <v>12</v>
      </c>
      <c r="D35">
        <v>6</v>
      </c>
      <c r="E35">
        <v>66</v>
      </c>
      <c r="F35">
        <v>90</v>
      </c>
      <c r="G35">
        <v>2</v>
      </c>
      <c r="H35">
        <v>5</v>
      </c>
      <c r="I35">
        <v>95</v>
      </c>
      <c r="J35">
        <v>97</v>
      </c>
      <c r="K35">
        <v>79</v>
      </c>
      <c r="L35">
        <v>90</v>
      </c>
      <c r="M35">
        <v>91</v>
      </c>
      <c r="N35">
        <v>49</v>
      </c>
      <c r="O35">
        <v>98</v>
      </c>
    </row>
    <row r="36" spans="1:15" x14ac:dyDescent="0.25">
      <c r="A36" t="s">
        <v>455</v>
      </c>
      <c r="B36" t="s">
        <v>193</v>
      </c>
      <c r="C36" t="s">
        <v>12</v>
      </c>
      <c r="D36">
        <v>41</v>
      </c>
      <c r="E36">
        <v>79</v>
      </c>
      <c r="F36">
        <v>57</v>
      </c>
      <c r="G36">
        <v>65</v>
      </c>
      <c r="H36">
        <v>50</v>
      </c>
      <c r="I36">
        <v>21</v>
      </c>
      <c r="J36">
        <v>50</v>
      </c>
      <c r="K36">
        <v>35</v>
      </c>
      <c r="L36">
        <v>62</v>
      </c>
      <c r="M36">
        <v>74</v>
      </c>
      <c r="N36">
        <v>54</v>
      </c>
      <c r="O36">
        <v>62</v>
      </c>
    </row>
    <row r="37" spans="1:15" x14ac:dyDescent="0.25">
      <c r="A37" t="s">
        <v>456</v>
      </c>
      <c r="B37" t="s">
        <v>419</v>
      </c>
      <c r="C37" t="s">
        <v>12</v>
      </c>
      <c r="D37">
        <v>7</v>
      </c>
      <c r="E37">
        <v>11</v>
      </c>
      <c r="F37">
        <v>22</v>
      </c>
      <c r="G37">
        <v>3</v>
      </c>
      <c r="H37">
        <v>55</v>
      </c>
      <c r="I37">
        <v>50</v>
      </c>
      <c r="J37">
        <v>99</v>
      </c>
      <c r="K37">
        <v>87</v>
      </c>
      <c r="L37">
        <v>62</v>
      </c>
      <c r="M37">
        <v>9</v>
      </c>
      <c r="N37">
        <v>62</v>
      </c>
      <c r="O37">
        <v>6</v>
      </c>
    </row>
    <row r="38" spans="1:15" x14ac:dyDescent="0.25">
      <c r="A38" t="s">
        <v>457</v>
      </c>
      <c r="B38" t="s">
        <v>420</v>
      </c>
      <c r="C38" t="s">
        <v>14</v>
      </c>
      <c r="D38">
        <v>63</v>
      </c>
      <c r="E38">
        <v>55</v>
      </c>
      <c r="F38">
        <v>20</v>
      </c>
      <c r="G38">
        <v>86</v>
      </c>
      <c r="H38">
        <v>27</v>
      </c>
      <c r="I38">
        <v>66</v>
      </c>
      <c r="J38">
        <v>15</v>
      </c>
      <c r="K38">
        <v>92</v>
      </c>
      <c r="L38">
        <v>99</v>
      </c>
      <c r="M38">
        <v>39</v>
      </c>
      <c r="N38">
        <v>66</v>
      </c>
      <c r="O38">
        <v>40</v>
      </c>
    </row>
    <row r="39" spans="1:15" x14ac:dyDescent="0.25">
      <c r="A39" t="s">
        <v>458</v>
      </c>
      <c r="B39" t="s">
        <v>420</v>
      </c>
      <c r="C39" t="s">
        <v>13</v>
      </c>
      <c r="D39">
        <v>41</v>
      </c>
      <c r="E39">
        <v>82</v>
      </c>
      <c r="F39">
        <v>25</v>
      </c>
      <c r="G39">
        <v>65</v>
      </c>
      <c r="H39">
        <v>14</v>
      </c>
      <c r="I39">
        <v>26</v>
      </c>
      <c r="J39">
        <v>89</v>
      </c>
      <c r="K39">
        <v>95</v>
      </c>
      <c r="L39">
        <v>24</v>
      </c>
      <c r="M39">
        <v>39</v>
      </c>
      <c r="N39">
        <v>25</v>
      </c>
      <c r="O39">
        <v>66</v>
      </c>
    </row>
    <row r="40" spans="1:15" x14ac:dyDescent="0.25">
      <c r="A40" t="s">
        <v>459</v>
      </c>
      <c r="B40" t="s">
        <v>193</v>
      </c>
      <c r="C40" t="s">
        <v>52</v>
      </c>
      <c r="D40">
        <v>51</v>
      </c>
      <c r="E40">
        <v>87</v>
      </c>
      <c r="F40">
        <v>76</v>
      </c>
      <c r="G40">
        <v>30</v>
      </c>
      <c r="H40">
        <v>39</v>
      </c>
      <c r="I40">
        <v>19</v>
      </c>
      <c r="J40">
        <v>9</v>
      </c>
      <c r="K40">
        <v>65</v>
      </c>
      <c r="L40">
        <v>41</v>
      </c>
      <c r="M40">
        <v>25</v>
      </c>
      <c r="N40">
        <v>87</v>
      </c>
      <c r="O40">
        <v>29</v>
      </c>
    </row>
    <row r="41" spans="1:15" x14ac:dyDescent="0.25">
      <c r="A41" t="s">
        <v>460</v>
      </c>
      <c r="B41" t="s">
        <v>419</v>
      </c>
      <c r="C41" t="s">
        <v>12</v>
      </c>
      <c r="D41">
        <v>10</v>
      </c>
      <c r="E41">
        <v>83</v>
      </c>
      <c r="F41">
        <v>58</v>
      </c>
      <c r="G41">
        <v>23</v>
      </c>
      <c r="H41">
        <v>94</v>
      </c>
      <c r="I41">
        <v>25</v>
      </c>
      <c r="J41">
        <v>64</v>
      </c>
      <c r="K41">
        <v>92</v>
      </c>
      <c r="L41">
        <v>74</v>
      </c>
      <c r="M41">
        <v>49</v>
      </c>
      <c r="N41">
        <v>87</v>
      </c>
      <c r="O41">
        <v>3</v>
      </c>
    </row>
    <row r="42" spans="1:15" x14ac:dyDescent="0.25">
      <c r="A42" t="s">
        <v>461</v>
      </c>
      <c r="B42" t="s">
        <v>420</v>
      </c>
      <c r="C42" t="s">
        <v>13</v>
      </c>
      <c r="D42">
        <v>67</v>
      </c>
      <c r="E42">
        <v>97</v>
      </c>
      <c r="F42">
        <v>59</v>
      </c>
      <c r="G42">
        <v>50</v>
      </c>
      <c r="H42">
        <v>83</v>
      </c>
      <c r="I42">
        <v>57</v>
      </c>
      <c r="J42">
        <v>1</v>
      </c>
      <c r="K42">
        <v>33</v>
      </c>
      <c r="L42">
        <v>50</v>
      </c>
      <c r="M42">
        <v>42</v>
      </c>
      <c r="N42">
        <v>15</v>
      </c>
      <c r="O42">
        <v>57</v>
      </c>
    </row>
    <row r="43" spans="1:15" x14ac:dyDescent="0.25">
      <c r="A43" t="s">
        <v>462</v>
      </c>
      <c r="B43" t="s">
        <v>419</v>
      </c>
      <c r="C43" t="s">
        <v>52</v>
      </c>
      <c r="D43">
        <v>6</v>
      </c>
      <c r="E43">
        <v>3</v>
      </c>
      <c r="F43">
        <v>19</v>
      </c>
      <c r="G43">
        <v>62</v>
      </c>
      <c r="H43">
        <v>18</v>
      </c>
      <c r="I43">
        <v>59</v>
      </c>
      <c r="J43">
        <v>97</v>
      </c>
      <c r="K43">
        <v>10</v>
      </c>
      <c r="L43">
        <v>90</v>
      </c>
      <c r="M43">
        <v>44</v>
      </c>
      <c r="N43">
        <v>45</v>
      </c>
      <c r="O43">
        <v>43</v>
      </c>
    </row>
    <row r="44" spans="1:15" x14ac:dyDescent="0.25">
      <c r="A44" t="s">
        <v>463</v>
      </c>
      <c r="B44" t="s">
        <v>193</v>
      </c>
      <c r="C44" t="s">
        <v>52</v>
      </c>
      <c r="D44">
        <v>49</v>
      </c>
      <c r="E44">
        <v>32</v>
      </c>
      <c r="F44">
        <v>73</v>
      </c>
      <c r="G44">
        <v>23</v>
      </c>
      <c r="H44">
        <v>8</v>
      </c>
      <c r="I44">
        <v>5</v>
      </c>
      <c r="J44">
        <v>81</v>
      </c>
      <c r="K44">
        <v>49</v>
      </c>
      <c r="L44">
        <v>56</v>
      </c>
      <c r="M44">
        <v>49</v>
      </c>
      <c r="N44">
        <v>51</v>
      </c>
      <c r="O44">
        <v>77</v>
      </c>
    </row>
    <row r="45" spans="1:15" x14ac:dyDescent="0.25">
      <c r="A45" t="s">
        <v>464</v>
      </c>
      <c r="B45" t="s">
        <v>419</v>
      </c>
      <c r="C45" t="s">
        <v>12</v>
      </c>
      <c r="D45">
        <v>84</v>
      </c>
      <c r="E45">
        <v>17</v>
      </c>
      <c r="F45">
        <v>71</v>
      </c>
      <c r="G45">
        <v>20</v>
      </c>
      <c r="H45">
        <v>50</v>
      </c>
      <c r="I45">
        <v>68</v>
      </c>
      <c r="J45">
        <v>34</v>
      </c>
      <c r="K45">
        <v>29</v>
      </c>
      <c r="L45">
        <v>95</v>
      </c>
      <c r="M45">
        <v>5</v>
      </c>
      <c r="N45">
        <v>9</v>
      </c>
      <c r="O45">
        <v>96</v>
      </c>
    </row>
    <row r="46" spans="1:15" x14ac:dyDescent="0.25">
      <c r="A46" t="s">
        <v>465</v>
      </c>
      <c r="B46" t="s">
        <v>420</v>
      </c>
      <c r="C46" t="s">
        <v>14</v>
      </c>
      <c r="D46">
        <v>77</v>
      </c>
      <c r="E46">
        <v>4</v>
      </c>
      <c r="F46">
        <v>62</v>
      </c>
      <c r="G46">
        <v>17</v>
      </c>
      <c r="H46">
        <v>27</v>
      </c>
      <c r="I46">
        <v>65</v>
      </c>
      <c r="J46">
        <v>37</v>
      </c>
      <c r="K46">
        <v>50</v>
      </c>
      <c r="L46">
        <v>12</v>
      </c>
      <c r="M46">
        <v>96</v>
      </c>
      <c r="N46">
        <v>79</v>
      </c>
      <c r="O46">
        <v>38</v>
      </c>
    </row>
    <row r="47" spans="1:15" x14ac:dyDescent="0.25">
      <c r="A47" t="s">
        <v>466</v>
      </c>
      <c r="B47" t="s">
        <v>414</v>
      </c>
      <c r="C47" t="s">
        <v>14</v>
      </c>
      <c r="D47">
        <v>81</v>
      </c>
      <c r="E47">
        <v>76</v>
      </c>
      <c r="F47">
        <v>59</v>
      </c>
      <c r="G47">
        <v>6</v>
      </c>
      <c r="H47">
        <v>95</v>
      </c>
      <c r="I47">
        <v>80</v>
      </c>
      <c r="J47">
        <v>61</v>
      </c>
      <c r="K47">
        <v>36</v>
      </c>
      <c r="L47">
        <v>40</v>
      </c>
      <c r="M47">
        <v>3</v>
      </c>
      <c r="N47">
        <v>30</v>
      </c>
      <c r="O47">
        <v>57</v>
      </c>
    </row>
    <row r="48" spans="1:15" x14ac:dyDescent="0.25">
      <c r="A48" t="s">
        <v>467</v>
      </c>
      <c r="B48" t="s">
        <v>414</v>
      </c>
      <c r="C48" t="s">
        <v>13</v>
      </c>
      <c r="D48">
        <v>34</v>
      </c>
      <c r="E48">
        <v>87</v>
      </c>
      <c r="F48">
        <v>48</v>
      </c>
      <c r="G48">
        <v>56</v>
      </c>
      <c r="H48">
        <v>67</v>
      </c>
      <c r="I48">
        <v>64</v>
      </c>
      <c r="J48">
        <v>85</v>
      </c>
      <c r="K48">
        <v>13</v>
      </c>
      <c r="L48">
        <v>59</v>
      </c>
      <c r="M48">
        <v>27</v>
      </c>
      <c r="N48">
        <v>74</v>
      </c>
      <c r="O48">
        <v>91</v>
      </c>
    </row>
    <row r="49" spans="1:15" x14ac:dyDescent="0.25">
      <c r="A49" t="s">
        <v>468</v>
      </c>
      <c r="B49" t="s">
        <v>420</v>
      </c>
      <c r="C49" t="s">
        <v>13</v>
      </c>
      <c r="D49">
        <v>100</v>
      </c>
      <c r="E49">
        <v>53</v>
      </c>
      <c r="F49">
        <v>20</v>
      </c>
      <c r="G49">
        <v>45</v>
      </c>
      <c r="H49">
        <v>99</v>
      </c>
      <c r="I49">
        <v>28</v>
      </c>
      <c r="J49">
        <v>28</v>
      </c>
      <c r="K49">
        <v>84</v>
      </c>
      <c r="L49">
        <v>32</v>
      </c>
      <c r="M49">
        <v>33</v>
      </c>
      <c r="N49">
        <v>45</v>
      </c>
      <c r="O49">
        <v>90</v>
      </c>
    </row>
    <row r="50" spans="1:15" x14ac:dyDescent="0.25">
      <c r="A50" t="s">
        <v>469</v>
      </c>
      <c r="B50" t="s">
        <v>420</v>
      </c>
      <c r="C50" t="s">
        <v>14</v>
      </c>
      <c r="D50">
        <v>49</v>
      </c>
      <c r="E50">
        <v>26</v>
      </c>
      <c r="F50">
        <v>40</v>
      </c>
      <c r="G50">
        <v>15</v>
      </c>
      <c r="H50">
        <v>42</v>
      </c>
      <c r="I50">
        <v>6</v>
      </c>
      <c r="J50">
        <v>69</v>
      </c>
      <c r="K50">
        <v>90</v>
      </c>
      <c r="L50">
        <v>25</v>
      </c>
      <c r="M50">
        <v>97</v>
      </c>
      <c r="N50">
        <v>54</v>
      </c>
      <c r="O50">
        <v>6</v>
      </c>
    </row>
    <row r="51" spans="1:15" x14ac:dyDescent="0.25">
      <c r="A51" t="s">
        <v>470</v>
      </c>
      <c r="B51" t="s">
        <v>420</v>
      </c>
      <c r="C51" t="s">
        <v>13</v>
      </c>
      <c r="D51">
        <v>22</v>
      </c>
      <c r="E51">
        <v>59</v>
      </c>
      <c r="F51">
        <v>19</v>
      </c>
      <c r="G51">
        <v>85</v>
      </c>
      <c r="H51">
        <v>74</v>
      </c>
      <c r="I51">
        <v>31</v>
      </c>
      <c r="J51">
        <v>21</v>
      </c>
      <c r="K51">
        <v>59</v>
      </c>
      <c r="L51">
        <v>6</v>
      </c>
      <c r="M51">
        <v>20</v>
      </c>
      <c r="N51">
        <v>27</v>
      </c>
      <c r="O51">
        <v>7</v>
      </c>
    </row>
    <row r="52" spans="1:15" x14ac:dyDescent="0.25">
      <c r="A52" t="s">
        <v>471</v>
      </c>
      <c r="B52" t="s">
        <v>414</v>
      </c>
      <c r="C52" t="s">
        <v>52</v>
      </c>
      <c r="D52">
        <v>98</v>
      </c>
      <c r="E52">
        <v>93</v>
      </c>
      <c r="F52">
        <v>74</v>
      </c>
      <c r="G52">
        <v>36</v>
      </c>
      <c r="H52">
        <v>79</v>
      </c>
      <c r="I52">
        <v>70</v>
      </c>
      <c r="J52">
        <v>65</v>
      </c>
      <c r="K52">
        <v>86</v>
      </c>
      <c r="L52">
        <v>2</v>
      </c>
      <c r="M52">
        <v>21</v>
      </c>
      <c r="N52">
        <v>2</v>
      </c>
      <c r="O52">
        <v>67</v>
      </c>
    </row>
    <row r="53" spans="1:15" x14ac:dyDescent="0.25">
      <c r="A53" t="s">
        <v>472</v>
      </c>
      <c r="B53" t="s">
        <v>414</v>
      </c>
      <c r="C53" t="s">
        <v>13</v>
      </c>
      <c r="D53">
        <v>94</v>
      </c>
      <c r="E53">
        <v>58</v>
      </c>
      <c r="F53">
        <v>98</v>
      </c>
      <c r="G53">
        <v>21</v>
      </c>
      <c r="H53">
        <v>77</v>
      </c>
      <c r="I53">
        <v>25</v>
      </c>
      <c r="J53">
        <v>37</v>
      </c>
      <c r="K53">
        <v>72</v>
      </c>
      <c r="L53">
        <v>15</v>
      </c>
      <c r="M53">
        <v>1</v>
      </c>
      <c r="N53">
        <v>98</v>
      </c>
      <c r="O53">
        <v>99</v>
      </c>
    </row>
    <row r="54" spans="1:15" x14ac:dyDescent="0.25">
      <c r="A54" t="s">
        <v>473</v>
      </c>
      <c r="B54" t="s">
        <v>420</v>
      </c>
      <c r="C54" t="s">
        <v>13</v>
      </c>
      <c r="D54">
        <v>70</v>
      </c>
      <c r="E54">
        <v>57</v>
      </c>
      <c r="F54">
        <v>95</v>
      </c>
      <c r="G54">
        <v>87</v>
      </c>
      <c r="H54">
        <v>77</v>
      </c>
      <c r="I54">
        <v>95</v>
      </c>
      <c r="J54">
        <v>15</v>
      </c>
      <c r="K54">
        <v>39</v>
      </c>
      <c r="L54">
        <v>21</v>
      </c>
      <c r="M54">
        <v>16</v>
      </c>
      <c r="N54">
        <v>11</v>
      </c>
      <c r="O54">
        <v>66</v>
      </c>
    </row>
    <row r="55" spans="1:15" x14ac:dyDescent="0.25">
      <c r="A55" t="s">
        <v>474</v>
      </c>
      <c r="B55" t="s">
        <v>419</v>
      </c>
      <c r="C55" t="s">
        <v>13</v>
      </c>
      <c r="D55">
        <v>2</v>
      </c>
      <c r="E55">
        <v>60</v>
      </c>
      <c r="F55">
        <v>90</v>
      </c>
      <c r="G55">
        <v>28</v>
      </c>
      <c r="H55">
        <v>61</v>
      </c>
      <c r="I55">
        <v>46</v>
      </c>
      <c r="J55">
        <v>77</v>
      </c>
      <c r="K55">
        <v>13</v>
      </c>
      <c r="L55">
        <v>10</v>
      </c>
      <c r="M55">
        <v>55</v>
      </c>
      <c r="N55">
        <v>51</v>
      </c>
      <c r="O55">
        <v>17</v>
      </c>
    </row>
    <row r="56" spans="1:15" x14ac:dyDescent="0.25">
      <c r="A56" t="s">
        <v>475</v>
      </c>
      <c r="B56" t="s">
        <v>193</v>
      </c>
      <c r="C56" t="s">
        <v>14</v>
      </c>
      <c r="D56">
        <v>42</v>
      </c>
      <c r="E56">
        <v>57</v>
      </c>
      <c r="F56">
        <v>25</v>
      </c>
      <c r="G56">
        <v>77</v>
      </c>
      <c r="H56">
        <v>81</v>
      </c>
      <c r="I56">
        <v>83</v>
      </c>
      <c r="J56">
        <v>82</v>
      </c>
      <c r="K56">
        <v>25</v>
      </c>
      <c r="L56">
        <v>65</v>
      </c>
      <c r="M56">
        <v>21</v>
      </c>
      <c r="N56">
        <v>96</v>
      </c>
      <c r="O56">
        <v>81</v>
      </c>
    </row>
    <row r="57" spans="1:15" x14ac:dyDescent="0.25">
      <c r="A57" t="s">
        <v>476</v>
      </c>
      <c r="B57" t="s">
        <v>193</v>
      </c>
      <c r="C57" t="s">
        <v>13</v>
      </c>
      <c r="D57">
        <v>19</v>
      </c>
      <c r="E57">
        <v>66</v>
      </c>
      <c r="F57">
        <v>81</v>
      </c>
      <c r="G57">
        <v>89</v>
      </c>
      <c r="H57">
        <v>59</v>
      </c>
      <c r="I57">
        <v>72</v>
      </c>
      <c r="J57">
        <v>39</v>
      </c>
      <c r="K57">
        <v>6</v>
      </c>
      <c r="L57">
        <v>98</v>
      </c>
      <c r="M57">
        <v>32</v>
      </c>
      <c r="N57">
        <v>35</v>
      </c>
      <c r="O57">
        <v>30</v>
      </c>
    </row>
    <row r="58" spans="1:15" x14ac:dyDescent="0.25">
      <c r="A58" t="s">
        <v>477</v>
      </c>
      <c r="B58" t="s">
        <v>193</v>
      </c>
      <c r="C58" t="s">
        <v>13</v>
      </c>
      <c r="D58">
        <v>27</v>
      </c>
      <c r="E58">
        <v>3</v>
      </c>
      <c r="F58">
        <v>34</v>
      </c>
      <c r="G58">
        <v>7</v>
      </c>
      <c r="H58">
        <v>31</v>
      </c>
      <c r="I58">
        <v>61</v>
      </c>
      <c r="J58">
        <v>69</v>
      </c>
      <c r="K58">
        <v>35</v>
      </c>
      <c r="L58">
        <v>7</v>
      </c>
      <c r="M58">
        <v>50</v>
      </c>
      <c r="N58">
        <v>42</v>
      </c>
      <c r="O58">
        <v>12</v>
      </c>
    </row>
    <row r="59" spans="1:15" x14ac:dyDescent="0.25">
      <c r="A59" t="s">
        <v>478</v>
      </c>
      <c r="B59" t="s">
        <v>419</v>
      </c>
      <c r="C59" t="s">
        <v>12</v>
      </c>
      <c r="D59">
        <v>85</v>
      </c>
      <c r="E59">
        <v>1</v>
      </c>
      <c r="F59">
        <v>71</v>
      </c>
      <c r="G59">
        <v>42</v>
      </c>
      <c r="H59">
        <v>57</v>
      </c>
      <c r="I59">
        <v>71</v>
      </c>
      <c r="J59">
        <v>79</v>
      </c>
      <c r="K59">
        <v>34</v>
      </c>
      <c r="L59">
        <v>54</v>
      </c>
      <c r="M59">
        <v>72</v>
      </c>
      <c r="N59">
        <v>10</v>
      </c>
      <c r="O59">
        <v>84</v>
      </c>
    </row>
    <row r="60" spans="1:15" x14ac:dyDescent="0.25">
      <c r="A60" t="s">
        <v>479</v>
      </c>
      <c r="B60" t="s">
        <v>414</v>
      </c>
      <c r="C60" t="s">
        <v>14</v>
      </c>
      <c r="D60">
        <v>94</v>
      </c>
      <c r="E60">
        <v>79</v>
      </c>
      <c r="F60">
        <v>56</v>
      </c>
      <c r="G60">
        <v>2</v>
      </c>
      <c r="H60">
        <v>18</v>
      </c>
      <c r="I60">
        <v>34</v>
      </c>
      <c r="J60">
        <v>35</v>
      </c>
      <c r="K60">
        <v>10</v>
      </c>
      <c r="L60">
        <v>94</v>
      </c>
      <c r="M60">
        <v>72</v>
      </c>
      <c r="N60">
        <v>90</v>
      </c>
      <c r="O60">
        <v>64</v>
      </c>
    </row>
    <row r="61" spans="1:15" x14ac:dyDescent="0.25">
      <c r="A61" t="s">
        <v>480</v>
      </c>
      <c r="B61" t="s">
        <v>419</v>
      </c>
      <c r="C61" t="s">
        <v>12</v>
      </c>
      <c r="D61">
        <v>77</v>
      </c>
      <c r="E61">
        <v>16</v>
      </c>
      <c r="F61">
        <v>81</v>
      </c>
      <c r="G61">
        <v>29</v>
      </c>
      <c r="H61">
        <v>82</v>
      </c>
      <c r="I61">
        <v>100</v>
      </c>
      <c r="J61">
        <v>2</v>
      </c>
      <c r="K61">
        <v>81</v>
      </c>
      <c r="L61">
        <v>80</v>
      </c>
      <c r="M61">
        <v>82</v>
      </c>
      <c r="N61">
        <v>2</v>
      </c>
      <c r="O61">
        <v>42</v>
      </c>
    </row>
    <row r="62" spans="1:15" x14ac:dyDescent="0.25">
      <c r="A62" t="s">
        <v>481</v>
      </c>
      <c r="B62" t="s">
        <v>193</v>
      </c>
      <c r="C62" t="s">
        <v>12</v>
      </c>
      <c r="D62">
        <v>40</v>
      </c>
      <c r="E62">
        <v>18</v>
      </c>
      <c r="F62">
        <v>41</v>
      </c>
      <c r="G62">
        <v>63</v>
      </c>
      <c r="H62">
        <v>25</v>
      </c>
      <c r="I62">
        <v>45</v>
      </c>
      <c r="J62">
        <v>75</v>
      </c>
      <c r="K62">
        <v>9</v>
      </c>
      <c r="L62">
        <v>57</v>
      </c>
      <c r="M62">
        <v>98</v>
      </c>
      <c r="N62">
        <v>85</v>
      </c>
      <c r="O62">
        <v>32</v>
      </c>
    </row>
    <row r="63" spans="1:15" x14ac:dyDescent="0.25">
      <c r="A63" t="s">
        <v>482</v>
      </c>
      <c r="B63" t="s">
        <v>193</v>
      </c>
      <c r="C63" t="s">
        <v>14</v>
      </c>
      <c r="D63">
        <v>30</v>
      </c>
      <c r="E63">
        <v>9</v>
      </c>
      <c r="F63">
        <v>30</v>
      </c>
      <c r="G63">
        <v>55</v>
      </c>
      <c r="H63">
        <v>20</v>
      </c>
      <c r="I63">
        <v>64</v>
      </c>
      <c r="J63">
        <v>31</v>
      </c>
      <c r="K63">
        <v>65</v>
      </c>
      <c r="L63">
        <v>66</v>
      </c>
      <c r="M63">
        <v>61</v>
      </c>
      <c r="N63">
        <v>90</v>
      </c>
      <c r="O63">
        <v>79</v>
      </c>
    </row>
    <row r="64" spans="1:15" x14ac:dyDescent="0.25">
      <c r="A64" t="s">
        <v>483</v>
      </c>
      <c r="B64" t="s">
        <v>414</v>
      </c>
      <c r="C64" t="s">
        <v>12</v>
      </c>
      <c r="D64">
        <v>42</v>
      </c>
      <c r="E64">
        <v>79</v>
      </c>
      <c r="F64">
        <v>51</v>
      </c>
      <c r="G64">
        <v>25</v>
      </c>
      <c r="H64">
        <v>74</v>
      </c>
      <c r="I64">
        <v>67</v>
      </c>
      <c r="J64">
        <v>80</v>
      </c>
      <c r="K64">
        <v>81</v>
      </c>
      <c r="L64">
        <v>72</v>
      </c>
      <c r="M64">
        <v>11</v>
      </c>
      <c r="N64">
        <v>43</v>
      </c>
      <c r="O64">
        <v>7</v>
      </c>
    </row>
    <row r="65" spans="1:15" x14ac:dyDescent="0.25">
      <c r="A65" t="s">
        <v>484</v>
      </c>
      <c r="B65" t="s">
        <v>419</v>
      </c>
      <c r="C65" t="s">
        <v>13</v>
      </c>
      <c r="D65">
        <v>93</v>
      </c>
      <c r="E65">
        <v>22</v>
      </c>
      <c r="F65">
        <v>85</v>
      </c>
      <c r="G65">
        <v>91</v>
      </c>
      <c r="H65">
        <v>23</v>
      </c>
      <c r="I65">
        <v>96</v>
      </c>
      <c r="J65">
        <v>32</v>
      </c>
      <c r="K65">
        <v>33</v>
      </c>
      <c r="L65">
        <v>84</v>
      </c>
      <c r="M65">
        <v>98</v>
      </c>
      <c r="N65">
        <v>100</v>
      </c>
      <c r="O65">
        <v>99</v>
      </c>
    </row>
    <row r="66" spans="1:15" x14ac:dyDescent="0.25">
      <c r="A66" t="s">
        <v>485</v>
      </c>
      <c r="B66" t="s">
        <v>419</v>
      </c>
      <c r="C66" t="s">
        <v>52</v>
      </c>
      <c r="D66">
        <v>67</v>
      </c>
      <c r="E66">
        <v>42</v>
      </c>
      <c r="F66">
        <v>94</v>
      </c>
      <c r="G66">
        <v>63</v>
      </c>
      <c r="H66">
        <v>83</v>
      </c>
      <c r="I66">
        <v>33</v>
      </c>
      <c r="J66">
        <v>43</v>
      </c>
      <c r="K66">
        <v>53</v>
      </c>
      <c r="L66">
        <v>40</v>
      </c>
      <c r="M66">
        <v>59</v>
      </c>
      <c r="N66">
        <v>9</v>
      </c>
      <c r="O66">
        <v>29</v>
      </c>
    </row>
    <row r="67" spans="1:15" x14ac:dyDescent="0.25">
      <c r="A67" t="s">
        <v>486</v>
      </c>
      <c r="B67" t="s">
        <v>193</v>
      </c>
      <c r="C67" t="s">
        <v>12</v>
      </c>
      <c r="D67">
        <v>68</v>
      </c>
      <c r="E67">
        <v>99</v>
      </c>
      <c r="F67">
        <v>44</v>
      </c>
      <c r="G67">
        <v>66</v>
      </c>
      <c r="H67">
        <v>20</v>
      </c>
      <c r="I67">
        <v>76</v>
      </c>
      <c r="J67">
        <v>75</v>
      </c>
      <c r="K67">
        <v>96</v>
      </c>
      <c r="L67">
        <v>66</v>
      </c>
      <c r="M67">
        <v>74</v>
      </c>
      <c r="N67">
        <v>27</v>
      </c>
      <c r="O67">
        <v>19</v>
      </c>
    </row>
    <row r="68" spans="1:15" x14ac:dyDescent="0.25">
      <c r="A68" t="s">
        <v>487</v>
      </c>
      <c r="B68" t="s">
        <v>419</v>
      </c>
      <c r="C68" t="s">
        <v>14</v>
      </c>
      <c r="D68">
        <v>8</v>
      </c>
      <c r="E68">
        <v>54</v>
      </c>
      <c r="F68">
        <v>69</v>
      </c>
      <c r="G68">
        <v>67</v>
      </c>
      <c r="H68">
        <v>48</v>
      </c>
      <c r="I68">
        <v>67</v>
      </c>
      <c r="J68">
        <v>29</v>
      </c>
      <c r="K68">
        <v>26</v>
      </c>
      <c r="L68">
        <v>61</v>
      </c>
      <c r="M68">
        <v>53</v>
      </c>
      <c r="N68">
        <v>37</v>
      </c>
      <c r="O68">
        <v>32</v>
      </c>
    </row>
    <row r="69" spans="1:15" x14ac:dyDescent="0.25">
      <c r="A69" t="s">
        <v>488</v>
      </c>
      <c r="B69" t="s">
        <v>419</v>
      </c>
      <c r="C69" t="s">
        <v>12</v>
      </c>
      <c r="D69">
        <v>71</v>
      </c>
      <c r="E69">
        <v>6</v>
      </c>
      <c r="F69">
        <v>52</v>
      </c>
      <c r="G69">
        <v>20</v>
      </c>
      <c r="H69">
        <v>9</v>
      </c>
      <c r="I69">
        <v>68</v>
      </c>
      <c r="J69">
        <v>75</v>
      </c>
      <c r="K69">
        <v>67</v>
      </c>
      <c r="L69">
        <v>13</v>
      </c>
      <c r="M69">
        <v>10</v>
      </c>
      <c r="N69">
        <v>91</v>
      </c>
      <c r="O69">
        <v>29</v>
      </c>
    </row>
    <row r="70" spans="1:15" x14ac:dyDescent="0.25">
      <c r="A70" t="s">
        <v>489</v>
      </c>
      <c r="B70" t="s">
        <v>414</v>
      </c>
      <c r="C70" t="s">
        <v>13</v>
      </c>
      <c r="D70">
        <v>43</v>
      </c>
      <c r="E70">
        <v>15</v>
      </c>
      <c r="F70">
        <v>63</v>
      </c>
      <c r="G70">
        <v>55</v>
      </c>
      <c r="H70">
        <v>31</v>
      </c>
      <c r="I70">
        <v>32</v>
      </c>
      <c r="J70">
        <v>40</v>
      </c>
      <c r="K70">
        <v>71</v>
      </c>
      <c r="L70">
        <v>76</v>
      </c>
      <c r="M70">
        <v>12</v>
      </c>
      <c r="N70">
        <v>70</v>
      </c>
      <c r="O70">
        <v>38</v>
      </c>
    </row>
    <row r="71" spans="1:15" x14ac:dyDescent="0.25">
      <c r="A71" t="s">
        <v>490</v>
      </c>
      <c r="B71" t="s">
        <v>414</v>
      </c>
      <c r="C71" t="s">
        <v>14</v>
      </c>
      <c r="D71">
        <v>34</v>
      </c>
      <c r="E71">
        <v>31</v>
      </c>
      <c r="F71">
        <v>39</v>
      </c>
      <c r="G71">
        <v>29</v>
      </c>
      <c r="H71">
        <v>27</v>
      </c>
      <c r="I71">
        <v>100</v>
      </c>
      <c r="J71">
        <v>100</v>
      </c>
      <c r="K71">
        <v>33</v>
      </c>
      <c r="L71">
        <v>1</v>
      </c>
      <c r="M71">
        <v>45</v>
      </c>
      <c r="N71">
        <v>59</v>
      </c>
      <c r="O71">
        <v>20</v>
      </c>
    </row>
    <row r="72" spans="1:15" x14ac:dyDescent="0.25">
      <c r="A72" t="s">
        <v>491</v>
      </c>
      <c r="B72" t="s">
        <v>414</v>
      </c>
      <c r="C72" t="s">
        <v>13</v>
      </c>
      <c r="D72">
        <v>96</v>
      </c>
      <c r="E72">
        <v>47</v>
      </c>
      <c r="F72">
        <v>58</v>
      </c>
      <c r="G72">
        <v>81</v>
      </c>
      <c r="H72">
        <v>1</v>
      </c>
      <c r="I72">
        <v>18</v>
      </c>
      <c r="J72">
        <v>11</v>
      </c>
      <c r="K72">
        <v>83</v>
      </c>
      <c r="L72">
        <v>61</v>
      </c>
      <c r="M72">
        <v>58</v>
      </c>
      <c r="N72">
        <v>19</v>
      </c>
      <c r="O72">
        <v>7</v>
      </c>
    </row>
    <row r="73" spans="1:15" x14ac:dyDescent="0.25">
      <c r="A73" t="s">
        <v>492</v>
      </c>
      <c r="B73" t="s">
        <v>420</v>
      </c>
      <c r="C73" t="s">
        <v>12</v>
      </c>
      <c r="D73">
        <v>44</v>
      </c>
      <c r="E73">
        <v>37</v>
      </c>
      <c r="F73">
        <v>16</v>
      </c>
      <c r="G73">
        <v>45</v>
      </c>
      <c r="H73">
        <v>46</v>
      </c>
      <c r="I73">
        <v>30</v>
      </c>
      <c r="J73">
        <v>72</v>
      </c>
      <c r="K73">
        <v>2</v>
      </c>
      <c r="L73">
        <v>55</v>
      </c>
      <c r="M73">
        <v>43</v>
      </c>
      <c r="N73">
        <v>89</v>
      </c>
      <c r="O73">
        <v>61</v>
      </c>
    </row>
    <row r="74" spans="1:15" x14ac:dyDescent="0.25">
      <c r="A74" t="s">
        <v>493</v>
      </c>
      <c r="B74" t="s">
        <v>419</v>
      </c>
      <c r="C74" t="s">
        <v>13</v>
      </c>
      <c r="D74">
        <v>78</v>
      </c>
      <c r="E74">
        <v>24</v>
      </c>
      <c r="F74">
        <v>16</v>
      </c>
      <c r="G74">
        <v>82</v>
      </c>
      <c r="H74">
        <v>34</v>
      </c>
      <c r="I74">
        <v>36</v>
      </c>
      <c r="J74">
        <v>40</v>
      </c>
      <c r="K74">
        <v>17</v>
      </c>
      <c r="L74">
        <v>88</v>
      </c>
      <c r="M74">
        <v>94</v>
      </c>
      <c r="N74">
        <v>39</v>
      </c>
      <c r="O74">
        <v>81</v>
      </c>
    </row>
    <row r="75" spans="1:15" x14ac:dyDescent="0.25">
      <c r="A75" t="s">
        <v>494</v>
      </c>
      <c r="B75" t="s">
        <v>419</v>
      </c>
      <c r="C75" t="s">
        <v>14</v>
      </c>
      <c r="D75">
        <v>74</v>
      </c>
      <c r="E75">
        <v>1</v>
      </c>
      <c r="F75">
        <v>92</v>
      </c>
      <c r="G75">
        <v>62</v>
      </c>
      <c r="H75">
        <v>52</v>
      </c>
      <c r="I75">
        <v>47</v>
      </c>
      <c r="J75">
        <v>19</v>
      </c>
      <c r="K75">
        <v>21</v>
      </c>
      <c r="L75">
        <v>24</v>
      </c>
      <c r="M75">
        <v>35</v>
      </c>
      <c r="N75">
        <v>72</v>
      </c>
      <c r="O75">
        <v>67</v>
      </c>
    </row>
    <row r="76" spans="1:15" x14ac:dyDescent="0.25">
      <c r="A76" t="s">
        <v>495</v>
      </c>
      <c r="B76" t="s">
        <v>193</v>
      </c>
      <c r="C76" t="s">
        <v>13</v>
      </c>
      <c r="D76">
        <v>78</v>
      </c>
      <c r="E76">
        <v>72</v>
      </c>
      <c r="F76">
        <v>78</v>
      </c>
      <c r="G76">
        <v>9</v>
      </c>
      <c r="H76">
        <v>68</v>
      </c>
      <c r="I76">
        <v>84</v>
      </c>
      <c r="J76">
        <v>84</v>
      </c>
      <c r="K76">
        <v>10</v>
      </c>
      <c r="L76">
        <v>20</v>
      </c>
      <c r="M76">
        <v>81</v>
      </c>
      <c r="N76">
        <v>92</v>
      </c>
      <c r="O76">
        <v>54</v>
      </c>
    </row>
    <row r="77" spans="1:15" x14ac:dyDescent="0.25">
      <c r="A77" t="s">
        <v>496</v>
      </c>
      <c r="B77" t="s">
        <v>193</v>
      </c>
      <c r="C77" t="s">
        <v>14</v>
      </c>
      <c r="D77">
        <v>87</v>
      </c>
      <c r="E77">
        <v>56</v>
      </c>
      <c r="F77">
        <v>16</v>
      </c>
      <c r="G77">
        <v>64</v>
      </c>
      <c r="H77">
        <v>5</v>
      </c>
      <c r="I77">
        <v>9</v>
      </c>
      <c r="J77">
        <v>66</v>
      </c>
      <c r="K77">
        <v>74</v>
      </c>
      <c r="L77">
        <v>11</v>
      </c>
      <c r="M77">
        <v>17</v>
      </c>
      <c r="N77">
        <v>19</v>
      </c>
      <c r="O77">
        <v>43</v>
      </c>
    </row>
    <row r="78" spans="1:15" x14ac:dyDescent="0.25">
      <c r="A78" t="s">
        <v>497</v>
      </c>
      <c r="B78" t="s">
        <v>419</v>
      </c>
      <c r="C78" t="s">
        <v>13</v>
      </c>
      <c r="D78">
        <v>100</v>
      </c>
      <c r="E78">
        <v>90</v>
      </c>
      <c r="F78">
        <v>14</v>
      </c>
      <c r="G78">
        <v>12</v>
      </c>
      <c r="H78">
        <v>99</v>
      </c>
      <c r="I78">
        <v>70</v>
      </c>
      <c r="J78">
        <v>91</v>
      </c>
      <c r="K78">
        <v>93</v>
      </c>
      <c r="L78">
        <v>64</v>
      </c>
      <c r="M78">
        <v>9</v>
      </c>
      <c r="N78">
        <v>28</v>
      </c>
      <c r="O78">
        <v>60</v>
      </c>
    </row>
    <row r="79" spans="1:15" x14ac:dyDescent="0.25">
      <c r="A79" t="s">
        <v>498</v>
      </c>
      <c r="B79" t="s">
        <v>193</v>
      </c>
      <c r="C79" t="s">
        <v>14</v>
      </c>
      <c r="D79">
        <v>80</v>
      </c>
      <c r="E79">
        <v>85</v>
      </c>
      <c r="F79">
        <v>56</v>
      </c>
      <c r="G79">
        <v>83</v>
      </c>
      <c r="H79">
        <v>8</v>
      </c>
      <c r="I79">
        <v>32</v>
      </c>
      <c r="J79">
        <v>17</v>
      </c>
      <c r="K79">
        <v>88</v>
      </c>
      <c r="L79">
        <v>20</v>
      </c>
      <c r="M79">
        <v>13</v>
      </c>
      <c r="N79">
        <v>98</v>
      </c>
      <c r="O79">
        <v>79</v>
      </c>
    </row>
    <row r="80" spans="1:15" x14ac:dyDescent="0.25">
      <c r="A80" t="s">
        <v>499</v>
      </c>
      <c r="B80" t="s">
        <v>419</v>
      </c>
      <c r="C80" t="s">
        <v>14</v>
      </c>
      <c r="D80">
        <v>20</v>
      </c>
      <c r="E80">
        <v>19</v>
      </c>
      <c r="F80">
        <v>44</v>
      </c>
      <c r="G80">
        <v>93</v>
      </c>
      <c r="H80">
        <v>13</v>
      </c>
      <c r="I80">
        <v>76</v>
      </c>
      <c r="J80">
        <v>71</v>
      </c>
      <c r="K80">
        <v>37</v>
      </c>
      <c r="L80">
        <v>54</v>
      </c>
      <c r="M80">
        <v>39</v>
      </c>
      <c r="N80">
        <v>33</v>
      </c>
      <c r="O80">
        <v>98</v>
      </c>
    </row>
    <row r="81" spans="1:15" x14ac:dyDescent="0.25">
      <c r="A81" t="s">
        <v>500</v>
      </c>
      <c r="B81" t="s">
        <v>193</v>
      </c>
      <c r="C81" t="s">
        <v>13</v>
      </c>
      <c r="D81">
        <v>79</v>
      </c>
      <c r="E81">
        <v>21</v>
      </c>
      <c r="F81">
        <v>11</v>
      </c>
      <c r="G81">
        <v>76</v>
      </c>
      <c r="H81">
        <v>41</v>
      </c>
      <c r="I81">
        <v>12</v>
      </c>
      <c r="J81">
        <v>82</v>
      </c>
      <c r="K81">
        <v>48</v>
      </c>
      <c r="L81">
        <v>9</v>
      </c>
      <c r="M81">
        <v>18</v>
      </c>
      <c r="N81">
        <v>74</v>
      </c>
      <c r="O81">
        <v>61</v>
      </c>
    </row>
    <row r="82" spans="1:15" x14ac:dyDescent="0.25">
      <c r="A82" t="s">
        <v>501</v>
      </c>
      <c r="B82" t="s">
        <v>193</v>
      </c>
      <c r="C82" t="s">
        <v>12</v>
      </c>
      <c r="D82">
        <v>37</v>
      </c>
      <c r="E82">
        <v>13</v>
      </c>
      <c r="F82">
        <v>78</v>
      </c>
      <c r="G82">
        <v>51</v>
      </c>
      <c r="H82">
        <v>26</v>
      </c>
      <c r="I82">
        <v>27</v>
      </c>
      <c r="J82">
        <v>65</v>
      </c>
      <c r="K82">
        <v>25</v>
      </c>
      <c r="L82">
        <v>11</v>
      </c>
      <c r="M82">
        <v>49</v>
      </c>
      <c r="N82">
        <v>12</v>
      </c>
      <c r="O82">
        <v>90</v>
      </c>
    </row>
    <row r="83" spans="1:15" x14ac:dyDescent="0.25">
      <c r="A83" t="s">
        <v>502</v>
      </c>
      <c r="B83" t="s">
        <v>414</v>
      </c>
      <c r="C83" t="s">
        <v>52</v>
      </c>
      <c r="D83">
        <v>4</v>
      </c>
      <c r="E83">
        <v>71</v>
      </c>
      <c r="F83">
        <v>63</v>
      </c>
      <c r="G83">
        <v>59</v>
      </c>
      <c r="H83">
        <v>4</v>
      </c>
      <c r="I83">
        <v>27</v>
      </c>
      <c r="J83">
        <v>34</v>
      </c>
      <c r="K83">
        <v>82</v>
      </c>
      <c r="L83">
        <v>12</v>
      </c>
      <c r="M83">
        <v>35</v>
      </c>
      <c r="N83">
        <v>39</v>
      </c>
      <c r="O83">
        <v>15</v>
      </c>
    </row>
    <row r="84" spans="1:15" x14ac:dyDescent="0.25">
      <c r="A84" t="s">
        <v>503</v>
      </c>
      <c r="B84" t="s">
        <v>193</v>
      </c>
      <c r="C84" t="s">
        <v>52</v>
      </c>
      <c r="D84">
        <v>71</v>
      </c>
      <c r="E84">
        <v>46</v>
      </c>
      <c r="F84">
        <v>45</v>
      </c>
      <c r="G84">
        <v>92</v>
      </c>
      <c r="H84">
        <v>80</v>
      </c>
      <c r="I84">
        <v>41</v>
      </c>
      <c r="J84">
        <v>76</v>
      </c>
      <c r="K84">
        <v>59</v>
      </c>
      <c r="L84">
        <v>44</v>
      </c>
      <c r="M84">
        <v>2</v>
      </c>
      <c r="N84">
        <v>34</v>
      </c>
      <c r="O84">
        <v>9</v>
      </c>
    </row>
    <row r="85" spans="1:15" x14ac:dyDescent="0.25">
      <c r="A85" t="s">
        <v>504</v>
      </c>
      <c r="B85" t="s">
        <v>193</v>
      </c>
      <c r="C85" t="s">
        <v>14</v>
      </c>
      <c r="D85">
        <v>62</v>
      </c>
      <c r="E85">
        <v>78</v>
      </c>
      <c r="F85">
        <v>47</v>
      </c>
      <c r="G85">
        <v>11</v>
      </c>
      <c r="H85">
        <v>1</v>
      </c>
      <c r="I85">
        <v>28</v>
      </c>
      <c r="J85">
        <v>85</v>
      </c>
      <c r="K85">
        <v>46</v>
      </c>
      <c r="L85">
        <v>12</v>
      </c>
      <c r="M85">
        <v>8</v>
      </c>
      <c r="N85">
        <v>6</v>
      </c>
      <c r="O85">
        <v>9</v>
      </c>
    </row>
    <row r="86" spans="1:15" x14ac:dyDescent="0.25">
      <c r="A86" t="s">
        <v>505</v>
      </c>
      <c r="B86" t="s">
        <v>420</v>
      </c>
      <c r="C86" t="s">
        <v>52</v>
      </c>
      <c r="D86">
        <v>75</v>
      </c>
      <c r="E86">
        <v>34</v>
      </c>
      <c r="F86">
        <v>91</v>
      </c>
      <c r="G86">
        <v>50</v>
      </c>
      <c r="H86">
        <v>51</v>
      </c>
      <c r="I86">
        <v>95</v>
      </c>
      <c r="J86">
        <v>36</v>
      </c>
      <c r="K86">
        <v>96</v>
      </c>
      <c r="L86">
        <v>35</v>
      </c>
      <c r="M86">
        <v>21</v>
      </c>
      <c r="N86">
        <v>13</v>
      </c>
      <c r="O86">
        <v>74</v>
      </c>
    </row>
    <row r="87" spans="1:15" x14ac:dyDescent="0.25">
      <c r="A87" t="s">
        <v>506</v>
      </c>
      <c r="B87" t="s">
        <v>414</v>
      </c>
      <c r="C87" t="s">
        <v>13</v>
      </c>
      <c r="D87">
        <v>27</v>
      </c>
      <c r="E87">
        <v>100</v>
      </c>
      <c r="F87">
        <v>85</v>
      </c>
      <c r="G87">
        <v>68</v>
      </c>
      <c r="H87">
        <v>42</v>
      </c>
      <c r="I87">
        <v>12</v>
      </c>
      <c r="J87">
        <v>38</v>
      </c>
      <c r="K87">
        <v>78</v>
      </c>
      <c r="L87">
        <v>75</v>
      </c>
      <c r="M87">
        <v>47</v>
      </c>
      <c r="N87">
        <v>2</v>
      </c>
      <c r="O87">
        <v>45</v>
      </c>
    </row>
    <row r="88" spans="1:15" x14ac:dyDescent="0.25">
      <c r="A88" t="s">
        <v>507</v>
      </c>
      <c r="B88" t="s">
        <v>414</v>
      </c>
      <c r="C88" t="s">
        <v>12</v>
      </c>
      <c r="D88">
        <v>54</v>
      </c>
      <c r="E88">
        <v>95</v>
      </c>
      <c r="F88">
        <v>85</v>
      </c>
      <c r="G88">
        <v>88</v>
      </c>
      <c r="H88">
        <v>7</v>
      </c>
      <c r="I88">
        <v>59</v>
      </c>
      <c r="J88">
        <v>8</v>
      </c>
      <c r="K88">
        <v>21</v>
      </c>
      <c r="L88">
        <v>14</v>
      </c>
      <c r="M88">
        <v>70</v>
      </c>
      <c r="N88">
        <v>85</v>
      </c>
      <c r="O88">
        <v>88</v>
      </c>
    </row>
    <row r="89" spans="1:15" x14ac:dyDescent="0.25">
      <c r="A89" t="s">
        <v>508</v>
      </c>
      <c r="B89" t="s">
        <v>420</v>
      </c>
      <c r="C89" t="s">
        <v>12</v>
      </c>
      <c r="D89">
        <v>79</v>
      </c>
      <c r="E89">
        <v>12</v>
      </c>
      <c r="F89">
        <v>86</v>
      </c>
      <c r="G89">
        <v>2</v>
      </c>
      <c r="H89">
        <v>20</v>
      </c>
      <c r="I89">
        <v>3</v>
      </c>
      <c r="J89">
        <v>19</v>
      </c>
      <c r="K89">
        <v>39</v>
      </c>
      <c r="L89">
        <v>89</v>
      </c>
      <c r="M89">
        <v>92</v>
      </c>
      <c r="N89">
        <v>14</v>
      </c>
      <c r="O89">
        <v>12</v>
      </c>
    </row>
    <row r="90" spans="1:15" x14ac:dyDescent="0.25">
      <c r="A90" t="s">
        <v>509</v>
      </c>
      <c r="B90" t="s">
        <v>420</v>
      </c>
      <c r="C90" t="s">
        <v>14</v>
      </c>
      <c r="D90">
        <v>77</v>
      </c>
      <c r="E90">
        <v>58</v>
      </c>
      <c r="F90">
        <v>44</v>
      </c>
      <c r="G90">
        <v>10</v>
      </c>
      <c r="H90">
        <v>30</v>
      </c>
      <c r="I90">
        <v>62</v>
      </c>
      <c r="J90">
        <v>59</v>
      </c>
      <c r="K90">
        <v>80</v>
      </c>
      <c r="L90">
        <v>85</v>
      </c>
      <c r="M90">
        <v>81</v>
      </c>
      <c r="N90">
        <v>12</v>
      </c>
      <c r="O90">
        <v>67</v>
      </c>
    </row>
    <row r="91" spans="1:15" x14ac:dyDescent="0.25">
      <c r="A91" t="s">
        <v>510</v>
      </c>
      <c r="B91" t="s">
        <v>193</v>
      </c>
      <c r="C91" t="s">
        <v>14</v>
      </c>
      <c r="D91">
        <v>99</v>
      </c>
      <c r="E91">
        <v>95</v>
      </c>
      <c r="F91">
        <v>88</v>
      </c>
      <c r="G91">
        <v>29</v>
      </c>
      <c r="H91">
        <v>58</v>
      </c>
      <c r="I91">
        <v>58</v>
      </c>
      <c r="J91">
        <v>12</v>
      </c>
      <c r="K91">
        <v>69</v>
      </c>
      <c r="L91">
        <v>86</v>
      </c>
      <c r="M91">
        <v>69</v>
      </c>
      <c r="N91">
        <v>81</v>
      </c>
      <c r="O91">
        <v>10</v>
      </c>
    </row>
    <row r="92" spans="1:15" x14ac:dyDescent="0.25">
      <c r="A92" t="s">
        <v>511</v>
      </c>
      <c r="B92" t="s">
        <v>414</v>
      </c>
      <c r="C92" t="s">
        <v>13</v>
      </c>
      <c r="D92">
        <v>87</v>
      </c>
      <c r="E92">
        <v>60</v>
      </c>
      <c r="F92">
        <v>28</v>
      </c>
      <c r="G92">
        <v>53</v>
      </c>
      <c r="H92">
        <v>58</v>
      </c>
      <c r="I92">
        <v>55</v>
      </c>
      <c r="J92">
        <v>35</v>
      </c>
      <c r="K92">
        <v>43</v>
      </c>
      <c r="L92">
        <v>31</v>
      </c>
      <c r="M92">
        <v>2</v>
      </c>
      <c r="N92">
        <v>45</v>
      </c>
      <c r="O92">
        <v>41</v>
      </c>
    </row>
    <row r="93" spans="1:15" x14ac:dyDescent="0.25">
      <c r="A93" t="s">
        <v>512</v>
      </c>
      <c r="B93" t="s">
        <v>419</v>
      </c>
      <c r="C93" t="s">
        <v>14</v>
      </c>
      <c r="D93">
        <v>38</v>
      </c>
      <c r="E93">
        <v>11</v>
      </c>
      <c r="F93">
        <v>14</v>
      </c>
      <c r="G93">
        <v>9</v>
      </c>
      <c r="H93">
        <v>3</v>
      </c>
      <c r="I93">
        <v>59</v>
      </c>
      <c r="J93">
        <v>10</v>
      </c>
      <c r="K93">
        <v>19</v>
      </c>
      <c r="L93">
        <v>53</v>
      </c>
      <c r="M93">
        <v>22</v>
      </c>
      <c r="N93">
        <v>73</v>
      </c>
      <c r="O93">
        <v>22</v>
      </c>
    </row>
    <row r="94" spans="1:15" x14ac:dyDescent="0.25">
      <c r="A94" t="s">
        <v>513</v>
      </c>
      <c r="B94" t="s">
        <v>419</v>
      </c>
      <c r="C94" t="s">
        <v>14</v>
      </c>
      <c r="D94">
        <v>8</v>
      </c>
      <c r="E94">
        <v>23</v>
      </c>
      <c r="F94">
        <v>68</v>
      </c>
      <c r="G94">
        <v>58</v>
      </c>
      <c r="H94">
        <v>12</v>
      </c>
      <c r="I94">
        <v>72</v>
      </c>
      <c r="J94">
        <v>76</v>
      </c>
      <c r="K94">
        <v>79</v>
      </c>
      <c r="L94">
        <v>50</v>
      </c>
      <c r="M94">
        <v>76</v>
      </c>
      <c r="N94">
        <v>90</v>
      </c>
      <c r="O94">
        <v>20</v>
      </c>
    </row>
    <row r="95" spans="1:15" x14ac:dyDescent="0.25">
      <c r="A95" t="s">
        <v>514</v>
      </c>
      <c r="B95" t="s">
        <v>419</v>
      </c>
      <c r="C95" t="s">
        <v>12</v>
      </c>
      <c r="D95">
        <v>61</v>
      </c>
      <c r="E95">
        <v>70</v>
      </c>
      <c r="F95">
        <v>4</v>
      </c>
      <c r="G95">
        <v>54</v>
      </c>
      <c r="H95">
        <v>62</v>
      </c>
      <c r="I95">
        <v>79</v>
      </c>
      <c r="J95">
        <v>93</v>
      </c>
      <c r="K95">
        <v>49</v>
      </c>
      <c r="L95">
        <v>24</v>
      </c>
      <c r="M95">
        <v>66</v>
      </c>
      <c r="N95">
        <v>52</v>
      </c>
      <c r="O95">
        <v>89</v>
      </c>
    </row>
    <row r="96" spans="1:15" x14ac:dyDescent="0.25">
      <c r="A96" t="s">
        <v>515</v>
      </c>
      <c r="B96" t="s">
        <v>414</v>
      </c>
      <c r="C96" t="s">
        <v>13</v>
      </c>
      <c r="D96">
        <v>77</v>
      </c>
      <c r="E96">
        <v>7</v>
      </c>
      <c r="F96">
        <v>51</v>
      </c>
      <c r="G96">
        <v>75</v>
      </c>
      <c r="H96">
        <v>47</v>
      </c>
      <c r="I96">
        <v>89</v>
      </c>
      <c r="J96">
        <v>100</v>
      </c>
      <c r="K96">
        <v>8</v>
      </c>
      <c r="L96">
        <v>63</v>
      </c>
      <c r="M96">
        <v>33</v>
      </c>
      <c r="N96">
        <v>32</v>
      </c>
      <c r="O96">
        <v>68</v>
      </c>
    </row>
    <row r="97" spans="1:15" x14ac:dyDescent="0.25">
      <c r="A97" t="s">
        <v>516</v>
      </c>
      <c r="B97" t="s">
        <v>414</v>
      </c>
      <c r="C97" t="s">
        <v>52</v>
      </c>
      <c r="D97">
        <v>86</v>
      </c>
      <c r="E97">
        <v>24</v>
      </c>
      <c r="F97">
        <v>70</v>
      </c>
      <c r="G97">
        <v>20</v>
      </c>
      <c r="H97">
        <v>41</v>
      </c>
      <c r="I97">
        <v>73</v>
      </c>
      <c r="J97">
        <v>28</v>
      </c>
      <c r="K97">
        <v>43</v>
      </c>
      <c r="L97">
        <v>37</v>
      </c>
      <c r="M97">
        <v>53</v>
      </c>
      <c r="N97">
        <v>50</v>
      </c>
      <c r="O97">
        <v>40</v>
      </c>
    </row>
    <row r="98" spans="1:15" x14ac:dyDescent="0.25">
      <c r="A98" t="s">
        <v>517</v>
      </c>
      <c r="B98" t="s">
        <v>420</v>
      </c>
      <c r="C98" t="s">
        <v>13</v>
      </c>
      <c r="D98">
        <v>86</v>
      </c>
      <c r="E98">
        <v>44</v>
      </c>
      <c r="F98">
        <v>94</v>
      </c>
      <c r="G98">
        <v>7</v>
      </c>
      <c r="H98">
        <v>96</v>
      </c>
      <c r="I98">
        <v>4</v>
      </c>
      <c r="J98">
        <v>41</v>
      </c>
      <c r="K98">
        <v>82</v>
      </c>
      <c r="L98">
        <v>77</v>
      </c>
      <c r="M98">
        <v>54</v>
      </c>
      <c r="N98">
        <v>88</v>
      </c>
      <c r="O98">
        <v>48</v>
      </c>
    </row>
    <row r="99" spans="1:15" x14ac:dyDescent="0.25">
      <c r="A99" t="s">
        <v>518</v>
      </c>
      <c r="B99" t="s">
        <v>419</v>
      </c>
      <c r="C99" t="s">
        <v>12</v>
      </c>
      <c r="D99">
        <v>4</v>
      </c>
      <c r="E99">
        <v>82</v>
      </c>
      <c r="F99">
        <v>67</v>
      </c>
      <c r="G99">
        <v>57</v>
      </c>
      <c r="H99">
        <v>40</v>
      </c>
      <c r="I99">
        <v>3</v>
      </c>
      <c r="J99">
        <v>99</v>
      </c>
      <c r="K99">
        <v>60</v>
      </c>
      <c r="L99">
        <v>85</v>
      </c>
      <c r="M99">
        <v>5</v>
      </c>
      <c r="N99">
        <v>36</v>
      </c>
      <c r="O99">
        <v>24</v>
      </c>
    </row>
    <row r="100" spans="1:15" x14ac:dyDescent="0.25">
      <c r="A100" t="s">
        <v>519</v>
      </c>
      <c r="B100" t="s">
        <v>419</v>
      </c>
      <c r="C100" t="s">
        <v>52</v>
      </c>
      <c r="D100">
        <v>15</v>
      </c>
      <c r="E100">
        <v>25</v>
      </c>
      <c r="F100">
        <v>41</v>
      </c>
      <c r="G100">
        <v>4</v>
      </c>
      <c r="H100">
        <v>95</v>
      </c>
      <c r="I100">
        <v>36</v>
      </c>
      <c r="J100">
        <v>76</v>
      </c>
      <c r="K100">
        <v>91</v>
      </c>
      <c r="L100">
        <v>23</v>
      </c>
      <c r="M100">
        <v>5</v>
      </c>
      <c r="N100">
        <v>4</v>
      </c>
      <c r="O100">
        <v>12</v>
      </c>
    </row>
    <row r="101" spans="1:15" x14ac:dyDescent="0.25">
      <c r="A101" t="s">
        <v>520</v>
      </c>
      <c r="B101" t="s">
        <v>414</v>
      </c>
      <c r="C101" t="s">
        <v>14</v>
      </c>
      <c r="D101">
        <v>49</v>
      </c>
      <c r="E101">
        <v>40</v>
      </c>
      <c r="F101">
        <v>100</v>
      </c>
      <c r="G101">
        <v>67</v>
      </c>
      <c r="H101">
        <v>80</v>
      </c>
      <c r="I101">
        <v>91</v>
      </c>
      <c r="J101">
        <v>9</v>
      </c>
      <c r="K101">
        <v>2</v>
      </c>
      <c r="L101">
        <v>68</v>
      </c>
      <c r="M101">
        <v>74</v>
      </c>
      <c r="N101">
        <v>85</v>
      </c>
      <c r="O101">
        <v>53</v>
      </c>
    </row>
    <row r="102" spans="1:15" x14ac:dyDescent="0.25">
      <c r="A102" t="s">
        <v>521</v>
      </c>
      <c r="B102" t="s">
        <v>419</v>
      </c>
      <c r="C102" t="s">
        <v>13</v>
      </c>
      <c r="D102">
        <v>28</v>
      </c>
      <c r="E102">
        <v>48</v>
      </c>
      <c r="F102">
        <v>63</v>
      </c>
      <c r="G102">
        <v>64</v>
      </c>
      <c r="H102">
        <v>56</v>
      </c>
      <c r="I102">
        <v>60</v>
      </c>
      <c r="J102">
        <v>4</v>
      </c>
      <c r="K102">
        <v>36</v>
      </c>
      <c r="L102">
        <v>52</v>
      </c>
      <c r="M102">
        <v>55</v>
      </c>
      <c r="N102">
        <v>22</v>
      </c>
      <c r="O102">
        <v>82</v>
      </c>
    </row>
    <row r="103" spans="1:15" x14ac:dyDescent="0.25">
      <c r="A103" t="s">
        <v>522</v>
      </c>
      <c r="B103" t="s">
        <v>193</v>
      </c>
      <c r="C103" t="s">
        <v>14</v>
      </c>
      <c r="D103">
        <v>94</v>
      </c>
      <c r="E103">
        <v>25</v>
      </c>
      <c r="F103">
        <v>53</v>
      </c>
      <c r="G103">
        <v>99</v>
      </c>
      <c r="H103">
        <v>32</v>
      </c>
      <c r="I103">
        <v>76</v>
      </c>
      <c r="J103">
        <v>48</v>
      </c>
      <c r="K103">
        <v>90</v>
      </c>
      <c r="L103">
        <v>42</v>
      </c>
      <c r="M103">
        <v>18</v>
      </c>
      <c r="N103">
        <v>41</v>
      </c>
      <c r="O103">
        <v>21</v>
      </c>
    </row>
    <row r="104" spans="1:15" x14ac:dyDescent="0.25">
      <c r="A104" t="s">
        <v>523</v>
      </c>
      <c r="B104" t="s">
        <v>420</v>
      </c>
      <c r="C104" t="s">
        <v>14</v>
      </c>
      <c r="D104">
        <v>45</v>
      </c>
      <c r="E104">
        <v>70</v>
      </c>
      <c r="F104">
        <v>17</v>
      </c>
      <c r="G104">
        <v>88</v>
      </c>
      <c r="H104">
        <v>75</v>
      </c>
      <c r="I104">
        <v>19</v>
      </c>
      <c r="J104">
        <v>86</v>
      </c>
      <c r="K104">
        <v>64</v>
      </c>
      <c r="L104">
        <v>81</v>
      </c>
      <c r="M104">
        <v>44</v>
      </c>
      <c r="N104">
        <v>19</v>
      </c>
      <c r="O104">
        <v>2</v>
      </c>
    </row>
    <row r="105" spans="1:15" x14ac:dyDescent="0.25">
      <c r="A105" t="s">
        <v>524</v>
      </c>
      <c r="B105" t="s">
        <v>414</v>
      </c>
      <c r="C105" t="s">
        <v>14</v>
      </c>
      <c r="D105">
        <v>1</v>
      </c>
      <c r="E105">
        <v>67</v>
      </c>
      <c r="F105">
        <v>5</v>
      </c>
      <c r="G105">
        <v>48</v>
      </c>
      <c r="H105">
        <v>56</v>
      </c>
      <c r="I105">
        <v>87</v>
      </c>
      <c r="J105">
        <v>24</v>
      </c>
      <c r="K105">
        <v>54</v>
      </c>
      <c r="L105">
        <v>56</v>
      </c>
      <c r="M105">
        <v>28</v>
      </c>
      <c r="N105">
        <v>91</v>
      </c>
      <c r="O105">
        <v>95</v>
      </c>
    </row>
    <row r="106" spans="1:15" x14ac:dyDescent="0.25">
      <c r="A106" t="s">
        <v>525</v>
      </c>
      <c r="B106" t="s">
        <v>420</v>
      </c>
      <c r="C106" t="s">
        <v>12</v>
      </c>
      <c r="D106">
        <v>23</v>
      </c>
      <c r="E106">
        <v>50</v>
      </c>
      <c r="F106">
        <v>16</v>
      </c>
      <c r="G106">
        <v>100</v>
      </c>
      <c r="H106">
        <v>19</v>
      </c>
      <c r="I106">
        <v>84</v>
      </c>
      <c r="J106">
        <v>63</v>
      </c>
      <c r="K106">
        <v>100</v>
      </c>
      <c r="L106">
        <v>93</v>
      </c>
      <c r="M106">
        <v>50</v>
      </c>
      <c r="N106">
        <v>84</v>
      </c>
      <c r="O106">
        <v>36</v>
      </c>
    </row>
    <row r="107" spans="1:15" x14ac:dyDescent="0.25">
      <c r="A107" t="s">
        <v>526</v>
      </c>
      <c r="B107" t="s">
        <v>419</v>
      </c>
      <c r="C107" t="s">
        <v>52</v>
      </c>
      <c r="D107">
        <v>29</v>
      </c>
      <c r="E107">
        <v>69</v>
      </c>
      <c r="F107">
        <v>9</v>
      </c>
      <c r="G107">
        <v>38</v>
      </c>
      <c r="H107">
        <v>92</v>
      </c>
      <c r="I107">
        <v>31</v>
      </c>
      <c r="J107">
        <v>24</v>
      </c>
      <c r="K107">
        <v>13</v>
      </c>
      <c r="L107">
        <v>40</v>
      </c>
      <c r="M107">
        <v>55</v>
      </c>
      <c r="N107">
        <v>25</v>
      </c>
      <c r="O107">
        <v>47</v>
      </c>
    </row>
    <row r="108" spans="1:15" x14ac:dyDescent="0.25">
      <c r="A108" t="s">
        <v>527</v>
      </c>
      <c r="B108" t="s">
        <v>414</v>
      </c>
      <c r="C108" t="s">
        <v>52</v>
      </c>
      <c r="D108">
        <v>69</v>
      </c>
      <c r="E108">
        <v>47</v>
      </c>
      <c r="F108">
        <v>30</v>
      </c>
      <c r="G108">
        <v>52</v>
      </c>
      <c r="H108">
        <v>17</v>
      </c>
      <c r="I108">
        <v>8</v>
      </c>
      <c r="J108">
        <v>51</v>
      </c>
      <c r="K108">
        <v>65</v>
      </c>
      <c r="L108">
        <v>62</v>
      </c>
      <c r="M108">
        <v>50</v>
      </c>
      <c r="N108">
        <v>90</v>
      </c>
      <c r="O108">
        <v>61</v>
      </c>
    </row>
    <row r="109" spans="1:15" x14ac:dyDescent="0.25">
      <c r="A109" t="s">
        <v>528</v>
      </c>
      <c r="B109" t="s">
        <v>193</v>
      </c>
      <c r="C109" t="s">
        <v>14</v>
      </c>
      <c r="D109">
        <v>87</v>
      </c>
      <c r="E109">
        <v>64</v>
      </c>
      <c r="F109">
        <v>85</v>
      </c>
      <c r="G109">
        <v>16</v>
      </c>
      <c r="H109">
        <v>91</v>
      </c>
      <c r="I109">
        <v>61</v>
      </c>
      <c r="J109">
        <v>58</v>
      </c>
      <c r="K109">
        <v>38</v>
      </c>
      <c r="L109">
        <v>48</v>
      </c>
      <c r="M109">
        <v>25</v>
      </c>
      <c r="N109">
        <v>95</v>
      </c>
      <c r="O109">
        <v>48</v>
      </c>
    </row>
    <row r="110" spans="1:15" x14ac:dyDescent="0.25">
      <c r="A110" t="s">
        <v>529</v>
      </c>
      <c r="B110" t="s">
        <v>193</v>
      </c>
      <c r="C110" t="s">
        <v>13</v>
      </c>
      <c r="D110">
        <v>60</v>
      </c>
      <c r="E110">
        <v>83</v>
      </c>
      <c r="F110">
        <v>40</v>
      </c>
      <c r="G110">
        <v>27</v>
      </c>
      <c r="H110">
        <v>43</v>
      </c>
      <c r="I110">
        <v>72</v>
      </c>
      <c r="J110">
        <v>82</v>
      </c>
      <c r="K110">
        <v>47</v>
      </c>
      <c r="L110">
        <v>72</v>
      </c>
      <c r="M110">
        <v>60</v>
      </c>
      <c r="N110">
        <v>79</v>
      </c>
      <c r="O110">
        <v>90</v>
      </c>
    </row>
    <row r="111" spans="1:15" x14ac:dyDescent="0.25">
      <c r="A111" t="s">
        <v>530</v>
      </c>
      <c r="B111" t="s">
        <v>193</v>
      </c>
      <c r="C111" t="s">
        <v>52</v>
      </c>
      <c r="D111">
        <v>77</v>
      </c>
      <c r="E111">
        <v>58</v>
      </c>
      <c r="F111">
        <v>63</v>
      </c>
      <c r="G111">
        <v>47</v>
      </c>
      <c r="H111">
        <v>32</v>
      </c>
      <c r="I111">
        <v>99</v>
      </c>
      <c r="J111">
        <v>92</v>
      </c>
      <c r="K111">
        <v>68</v>
      </c>
      <c r="L111">
        <v>7</v>
      </c>
      <c r="M111">
        <v>19</v>
      </c>
      <c r="N111">
        <v>28</v>
      </c>
      <c r="O111">
        <v>8</v>
      </c>
    </row>
    <row r="112" spans="1:15" x14ac:dyDescent="0.25">
      <c r="A112" t="s">
        <v>531</v>
      </c>
      <c r="B112" t="s">
        <v>414</v>
      </c>
      <c r="C112" t="s">
        <v>12</v>
      </c>
      <c r="D112">
        <v>89</v>
      </c>
      <c r="E112">
        <v>20</v>
      </c>
      <c r="F112">
        <v>54</v>
      </c>
      <c r="G112">
        <v>93</v>
      </c>
      <c r="H112">
        <v>45</v>
      </c>
      <c r="I112">
        <v>58</v>
      </c>
      <c r="J112">
        <v>10</v>
      </c>
      <c r="K112">
        <v>57</v>
      </c>
      <c r="L112">
        <v>96</v>
      </c>
      <c r="M112">
        <v>51</v>
      </c>
      <c r="N112">
        <v>26</v>
      </c>
      <c r="O112">
        <v>9</v>
      </c>
    </row>
    <row r="113" spans="1:15" x14ac:dyDescent="0.25">
      <c r="A113" t="s">
        <v>532</v>
      </c>
      <c r="B113" t="s">
        <v>414</v>
      </c>
      <c r="C113" t="s">
        <v>13</v>
      </c>
      <c r="D113">
        <v>89</v>
      </c>
      <c r="E113">
        <v>22</v>
      </c>
      <c r="F113">
        <v>64</v>
      </c>
      <c r="G113">
        <v>25</v>
      </c>
      <c r="H113">
        <v>57</v>
      </c>
      <c r="I113">
        <v>34</v>
      </c>
      <c r="J113">
        <v>84</v>
      </c>
      <c r="K113">
        <v>32</v>
      </c>
      <c r="L113">
        <v>13</v>
      </c>
      <c r="M113">
        <v>53</v>
      </c>
      <c r="N113">
        <v>32</v>
      </c>
      <c r="O113">
        <v>32</v>
      </c>
    </row>
    <row r="114" spans="1:15" x14ac:dyDescent="0.25">
      <c r="A114" t="s">
        <v>533</v>
      </c>
      <c r="B114" t="s">
        <v>193</v>
      </c>
      <c r="C114" t="s">
        <v>52</v>
      </c>
      <c r="D114">
        <v>47</v>
      </c>
      <c r="E114">
        <v>80</v>
      </c>
      <c r="F114">
        <v>21</v>
      </c>
      <c r="G114">
        <v>72</v>
      </c>
      <c r="H114">
        <v>1</v>
      </c>
      <c r="I114">
        <v>4</v>
      </c>
      <c r="J114">
        <v>39</v>
      </c>
      <c r="K114">
        <v>71</v>
      </c>
      <c r="L114">
        <v>41</v>
      </c>
      <c r="M114">
        <v>99</v>
      </c>
      <c r="N114">
        <v>74</v>
      </c>
      <c r="O114">
        <v>63</v>
      </c>
    </row>
    <row r="115" spans="1:15" x14ac:dyDescent="0.25">
      <c r="A115" t="s">
        <v>534</v>
      </c>
      <c r="B115" t="s">
        <v>193</v>
      </c>
      <c r="C115" t="s">
        <v>52</v>
      </c>
      <c r="D115">
        <v>62</v>
      </c>
      <c r="E115">
        <v>59</v>
      </c>
      <c r="F115">
        <v>78</v>
      </c>
      <c r="G115">
        <v>1</v>
      </c>
      <c r="H115">
        <v>4</v>
      </c>
      <c r="I115">
        <v>49</v>
      </c>
      <c r="J115">
        <v>45</v>
      </c>
      <c r="K115">
        <v>44</v>
      </c>
      <c r="L115">
        <v>78</v>
      </c>
      <c r="M115">
        <v>68</v>
      </c>
      <c r="N115">
        <v>36</v>
      </c>
      <c r="O115">
        <v>25</v>
      </c>
    </row>
    <row r="116" spans="1:15" x14ac:dyDescent="0.25">
      <c r="A116" t="s">
        <v>535</v>
      </c>
      <c r="B116" t="s">
        <v>414</v>
      </c>
      <c r="C116" t="s">
        <v>12</v>
      </c>
      <c r="D116">
        <v>87</v>
      </c>
      <c r="E116">
        <v>85</v>
      </c>
      <c r="F116">
        <v>98</v>
      </c>
      <c r="G116">
        <v>39</v>
      </c>
      <c r="H116">
        <v>74</v>
      </c>
      <c r="I116">
        <v>48</v>
      </c>
      <c r="J116">
        <v>20</v>
      </c>
      <c r="K116">
        <v>40</v>
      </c>
      <c r="L116">
        <v>40</v>
      </c>
      <c r="M116">
        <v>4</v>
      </c>
      <c r="N116">
        <v>79</v>
      </c>
      <c r="O116">
        <v>78</v>
      </c>
    </row>
    <row r="117" spans="1:15" x14ac:dyDescent="0.25">
      <c r="A117" t="s">
        <v>536</v>
      </c>
      <c r="B117" t="s">
        <v>420</v>
      </c>
      <c r="C117" t="s">
        <v>13</v>
      </c>
      <c r="D117">
        <v>90</v>
      </c>
      <c r="E117">
        <v>71</v>
      </c>
      <c r="F117">
        <v>61</v>
      </c>
      <c r="G117">
        <v>50</v>
      </c>
      <c r="H117">
        <v>2</v>
      </c>
      <c r="I117">
        <v>27</v>
      </c>
      <c r="J117">
        <v>50</v>
      </c>
      <c r="K117">
        <v>42</v>
      </c>
      <c r="L117">
        <v>76</v>
      </c>
      <c r="M117">
        <v>30</v>
      </c>
      <c r="N117">
        <v>76</v>
      </c>
      <c r="O117">
        <v>4</v>
      </c>
    </row>
    <row r="118" spans="1:15" x14ac:dyDescent="0.25">
      <c r="A118" t="s">
        <v>537</v>
      </c>
      <c r="B118" t="s">
        <v>414</v>
      </c>
      <c r="C118" t="s">
        <v>13</v>
      </c>
      <c r="D118">
        <v>85</v>
      </c>
      <c r="E118">
        <v>56</v>
      </c>
      <c r="F118">
        <v>59</v>
      </c>
      <c r="G118">
        <v>87</v>
      </c>
      <c r="H118">
        <v>11</v>
      </c>
      <c r="I118">
        <v>73</v>
      </c>
      <c r="J118">
        <v>59</v>
      </c>
      <c r="K118">
        <v>97</v>
      </c>
      <c r="L118">
        <v>33</v>
      </c>
      <c r="M118">
        <v>12</v>
      </c>
      <c r="N118">
        <v>37</v>
      </c>
      <c r="O118">
        <v>13</v>
      </c>
    </row>
    <row r="119" spans="1:15" x14ac:dyDescent="0.25">
      <c r="A119" t="s">
        <v>538</v>
      </c>
      <c r="B119" t="s">
        <v>414</v>
      </c>
      <c r="C119" t="s">
        <v>12</v>
      </c>
      <c r="D119">
        <v>61</v>
      </c>
      <c r="E119">
        <v>8</v>
      </c>
      <c r="F119">
        <v>71</v>
      </c>
      <c r="G119">
        <v>79</v>
      </c>
      <c r="H119">
        <v>88</v>
      </c>
      <c r="I119">
        <v>55</v>
      </c>
      <c r="J119">
        <v>20</v>
      </c>
      <c r="K119">
        <v>30</v>
      </c>
      <c r="L119">
        <v>91</v>
      </c>
      <c r="M119">
        <v>43</v>
      </c>
      <c r="N119">
        <v>67</v>
      </c>
      <c r="O119">
        <v>43</v>
      </c>
    </row>
    <row r="120" spans="1:15" x14ac:dyDescent="0.25">
      <c r="A120" t="s">
        <v>539</v>
      </c>
      <c r="B120" t="s">
        <v>420</v>
      </c>
      <c r="C120" t="s">
        <v>13</v>
      </c>
      <c r="D120">
        <v>74</v>
      </c>
      <c r="E120">
        <v>52</v>
      </c>
      <c r="F120">
        <v>46</v>
      </c>
      <c r="G120">
        <v>64</v>
      </c>
      <c r="H120">
        <v>4</v>
      </c>
      <c r="I120">
        <v>77</v>
      </c>
      <c r="J120">
        <v>60</v>
      </c>
      <c r="K120">
        <v>6</v>
      </c>
      <c r="L120">
        <v>86</v>
      </c>
      <c r="M120">
        <v>65</v>
      </c>
      <c r="N120">
        <v>10</v>
      </c>
      <c r="O120">
        <v>22</v>
      </c>
    </row>
    <row r="121" spans="1:15" x14ac:dyDescent="0.25">
      <c r="A121" t="s">
        <v>540</v>
      </c>
      <c r="B121" t="s">
        <v>420</v>
      </c>
      <c r="C121" t="s">
        <v>52</v>
      </c>
      <c r="D121">
        <v>21</v>
      </c>
      <c r="E121">
        <v>78</v>
      </c>
      <c r="F121">
        <v>86</v>
      </c>
      <c r="G121">
        <v>33</v>
      </c>
      <c r="H121">
        <v>66</v>
      </c>
      <c r="I121">
        <v>95</v>
      </c>
      <c r="J121">
        <v>84</v>
      </c>
      <c r="K121">
        <v>65</v>
      </c>
      <c r="L121">
        <v>95</v>
      </c>
      <c r="M121">
        <v>69</v>
      </c>
      <c r="N121">
        <v>67</v>
      </c>
      <c r="O121">
        <v>15</v>
      </c>
    </row>
    <row r="122" spans="1:15" x14ac:dyDescent="0.25">
      <c r="A122" t="s">
        <v>541</v>
      </c>
      <c r="B122" t="s">
        <v>419</v>
      </c>
      <c r="C122" t="s">
        <v>12</v>
      </c>
      <c r="D122">
        <v>87</v>
      </c>
      <c r="E122">
        <v>88</v>
      </c>
      <c r="F122">
        <v>100</v>
      </c>
      <c r="G122">
        <v>92</v>
      </c>
      <c r="H122">
        <v>15</v>
      </c>
      <c r="I122">
        <v>79</v>
      </c>
      <c r="J122">
        <v>6</v>
      </c>
      <c r="K122">
        <v>20</v>
      </c>
      <c r="L122">
        <v>37</v>
      </c>
      <c r="M122">
        <v>44</v>
      </c>
      <c r="N122">
        <v>87</v>
      </c>
      <c r="O122">
        <v>35</v>
      </c>
    </row>
    <row r="123" spans="1:15" x14ac:dyDescent="0.25">
      <c r="A123" t="s">
        <v>542</v>
      </c>
      <c r="B123" t="s">
        <v>414</v>
      </c>
      <c r="C123" t="s">
        <v>13</v>
      </c>
      <c r="D123">
        <v>54</v>
      </c>
      <c r="E123">
        <v>61</v>
      </c>
      <c r="F123">
        <v>21</v>
      </c>
      <c r="G123">
        <v>7</v>
      </c>
      <c r="H123">
        <v>96</v>
      </c>
      <c r="I123">
        <v>69</v>
      </c>
      <c r="J123">
        <v>34</v>
      </c>
      <c r="K123">
        <v>89</v>
      </c>
      <c r="L123">
        <v>35</v>
      </c>
      <c r="M123">
        <v>81</v>
      </c>
      <c r="N123">
        <v>93</v>
      </c>
      <c r="O123">
        <v>5</v>
      </c>
    </row>
    <row r="124" spans="1:15" x14ac:dyDescent="0.25">
      <c r="A124" t="s">
        <v>543</v>
      </c>
      <c r="B124" t="s">
        <v>414</v>
      </c>
      <c r="C124" t="s">
        <v>13</v>
      </c>
      <c r="D124">
        <v>35</v>
      </c>
      <c r="E124">
        <v>76</v>
      </c>
      <c r="F124">
        <v>32</v>
      </c>
      <c r="G124">
        <v>68</v>
      </c>
      <c r="H124">
        <v>62</v>
      </c>
      <c r="I124">
        <v>9</v>
      </c>
      <c r="J124">
        <v>84</v>
      </c>
      <c r="K124">
        <v>58</v>
      </c>
      <c r="L124">
        <v>72</v>
      </c>
      <c r="M124">
        <v>62</v>
      </c>
      <c r="N124">
        <v>65</v>
      </c>
      <c r="O124">
        <v>88</v>
      </c>
    </row>
    <row r="125" spans="1:15" x14ac:dyDescent="0.25">
      <c r="A125" t="s">
        <v>544</v>
      </c>
      <c r="B125" t="s">
        <v>419</v>
      </c>
      <c r="C125" t="s">
        <v>12</v>
      </c>
      <c r="D125">
        <v>74</v>
      </c>
      <c r="E125">
        <v>94</v>
      </c>
      <c r="F125">
        <v>81</v>
      </c>
      <c r="G125">
        <v>52</v>
      </c>
      <c r="H125">
        <v>37</v>
      </c>
      <c r="I125">
        <v>78</v>
      </c>
      <c r="J125">
        <v>74</v>
      </c>
      <c r="K125">
        <v>4</v>
      </c>
      <c r="L125">
        <v>29</v>
      </c>
      <c r="M125">
        <v>36</v>
      </c>
      <c r="N125">
        <v>20</v>
      </c>
      <c r="O125">
        <v>2</v>
      </c>
    </row>
    <row r="126" spans="1:15" x14ac:dyDescent="0.25">
      <c r="A126" t="s">
        <v>545</v>
      </c>
      <c r="B126" t="s">
        <v>420</v>
      </c>
      <c r="C126" t="s">
        <v>13</v>
      </c>
      <c r="D126">
        <v>28</v>
      </c>
      <c r="E126">
        <v>89</v>
      </c>
      <c r="F126">
        <v>87</v>
      </c>
      <c r="G126">
        <v>20</v>
      </c>
      <c r="H126">
        <v>13</v>
      </c>
      <c r="I126">
        <v>50</v>
      </c>
      <c r="J126">
        <v>64</v>
      </c>
      <c r="K126">
        <v>15</v>
      </c>
      <c r="L126">
        <v>58</v>
      </c>
      <c r="M126">
        <v>38</v>
      </c>
      <c r="N126">
        <v>90</v>
      </c>
      <c r="O126">
        <v>26</v>
      </c>
    </row>
    <row r="127" spans="1:15" x14ac:dyDescent="0.25">
      <c r="A127" t="s">
        <v>546</v>
      </c>
      <c r="B127" t="s">
        <v>419</v>
      </c>
      <c r="C127" t="s">
        <v>12</v>
      </c>
      <c r="D127">
        <v>90</v>
      </c>
      <c r="E127">
        <v>62</v>
      </c>
      <c r="F127">
        <v>82</v>
      </c>
      <c r="G127">
        <v>89</v>
      </c>
      <c r="H127">
        <v>18</v>
      </c>
      <c r="I127">
        <v>22</v>
      </c>
      <c r="J127">
        <v>81</v>
      </c>
      <c r="K127">
        <v>16</v>
      </c>
      <c r="L127">
        <v>82</v>
      </c>
      <c r="M127">
        <v>88</v>
      </c>
      <c r="N127">
        <v>74</v>
      </c>
      <c r="O127">
        <v>20</v>
      </c>
    </row>
    <row r="128" spans="1:15" x14ac:dyDescent="0.25">
      <c r="A128" t="s">
        <v>547</v>
      </c>
      <c r="B128" t="s">
        <v>414</v>
      </c>
      <c r="C128" t="s">
        <v>13</v>
      </c>
      <c r="D128">
        <v>83</v>
      </c>
      <c r="E128">
        <v>43</v>
      </c>
      <c r="F128">
        <v>63</v>
      </c>
      <c r="G128">
        <v>88</v>
      </c>
      <c r="H128">
        <v>17</v>
      </c>
      <c r="I128">
        <v>86</v>
      </c>
      <c r="J128">
        <v>51</v>
      </c>
      <c r="K128">
        <v>2</v>
      </c>
      <c r="L128">
        <v>4</v>
      </c>
      <c r="M128">
        <v>36</v>
      </c>
      <c r="N128">
        <v>80</v>
      </c>
      <c r="O128">
        <v>68</v>
      </c>
    </row>
    <row r="129" spans="1:15" x14ac:dyDescent="0.25">
      <c r="A129" t="s">
        <v>548</v>
      </c>
      <c r="B129" t="s">
        <v>414</v>
      </c>
      <c r="C129" t="s">
        <v>12</v>
      </c>
      <c r="D129">
        <v>29</v>
      </c>
      <c r="E129">
        <v>77</v>
      </c>
      <c r="F129">
        <v>23</v>
      </c>
      <c r="G129">
        <v>24</v>
      </c>
      <c r="H129">
        <v>21</v>
      </c>
      <c r="I129">
        <v>70</v>
      </c>
      <c r="J129">
        <v>27</v>
      </c>
      <c r="K129">
        <v>30</v>
      </c>
      <c r="L129">
        <v>6</v>
      </c>
      <c r="M129">
        <v>30</v>
      </c>
      <c r="N129">
        <v>91</v>
      </c>
      <c r="O129">
        <v>42</v>
      </c>
    </row>
    <row r="130" spans="1:15" x14ac:dyDescent="0.25">
      <c r="A130" t="s">
        <v>549</v>
      </c>
      <c r="B130" t="s">
        <v>193</v>
      </c>
      <c r="C130" t="s">
        <v>52</v>
      </c>
      <c r="D130">
        <v>82</v>
      </c>
      <c r="E130">
        <v>48</v>
      </c>
      <c r="F130">
        <v>77</v>
      </c>
      <c r="G130">
        <v>30</v>
      </c>
      <c r="H130">
        <v>63</v>
      </c>
      <c r="I130">
        <v>79</v>
      </c>
      <c r="J130">
        <v>32</v>
      </c>
      <c r="K130">
        <v>62</v>
      </c>
      <c r="L130">
        <v>17</v>
      </c>
      <c r="M130">
        <v>1</v>
      </c>
      <c r="N130">
        <v>64</v>
      </c>
      <c r="O130">
        <v>37</v>
      </c>
    </row>
    <row r="131" spans="1:15" x14ac:dyDescent="0.25">
      <c r="A131" t="s">
        <v>550</v>
      </c>
      <c r="B131" t="s">
        <v>419</v>
      </c>
      <c r="C131" t="s">
        <v>12</v>
      </c>
      <c r="D131">
        <v>31</v>
      </c>
      <c r="E131">
        <v>33</v>
      </c>
      <c r="F131">
        <v>43</v>
      </c>
      <c r="G131">
        <v>3</v>
      </c>
      <c r="H131">
        <v>49</v>
      </c>
      <c r="I131">
        <v>91</v>
      </c>
      <c r="J131">
        <v>83</v>
      </c>
      <c r="K131">
        <v>15</v>
      </c>
      <c r="L131">
        <v>74</v>
      </c>
      <c r="M131">
        <v>91</v>
      </c>
      <c r="N131">
        <v>45</v>
      </c>
      <c r="O131">
        <v>79</v>
      </c>
    </row>
    <row r="132" spans="1:15" x14ac:dyDescent="0.25">
      <c r="A132" t="s">
        <v>551</v>
      </c>
      <c r="B132" t="s">
        <v>420</v>
      </c>
      <c r="C132" t="s">
        <v>52</v>
      </c>
      <c r="D132">
        <v>94</v>
      </c>
      <c r="E132">
        <v>34</v>
      </c>
      <c r="F132">
        <v>58</v>
      </c>
      <c r="G132">
        <v>47</v>
      </c>
      <c r="H132">
        <v>45</v>
      </c>
      <c r="I132">
        <v>40</v>
      </c>
      <c r="J132">
        <v>9</v>
      </c>
      <c r="K132">
        <v>75</v>
      </c>
      <c r="L132">
        <v>65</v>
      </c>
      <c r="M132">
        <v>56</v>
      </c>
      <c r="N132">
        <v>85</v>
      </c>
      <c r="O132">
        <v>12</v>
      </c>
    </row>
    <row r="133" spans="1:15" x14ac:dyDescent="0.25">
      <c r="A133" t="s">
        <v>552</v>
      </c>
      <c r="B133" t="s">
        <v>419</v>
      </c>
      <c r="C133" t="s">
        <v>52</v>
      </c>
      <c r="D133">
        <v>93</v>
      </c>
      <c r="E133">
        <v>31</v>
      </c>
      <c r="F133">
        <v>57</v>
      </c>
      <c r="G133">
        <v>62</v>
      </c>
      <c r="H133">
        <v>86</v>
      </c>
      <c r="I133">
        <v>21</v>
      </c>
      <c r="J133">
        <v>49</v>
      </c>
      <c r="K133">
        <v>77</v>
      </c>
      <c r="L133">
        <v>42</v>
      </c>
      <c r="M133">
        <v>43</v>
      </c>
      <c r="N133">
        <v>2</v>
      </c>
      <c r="O133">
        <v>44</v>
      </c>
    </row>
    <row r="134" spans="1:15" x14ac:dyDescent="0.25">
      <c r="A134" t="s">
        <v>553</v>
      </c>
      <c r="B134" t="s">
        <v>193</v>
      </c>
      <c r="C134" t="s">
        <v>52</v>
      </c>
      <c r="D134">
        <v>1</v>
      </c>
      <c r="E134">
        <v>58</v>
      </c>
      <c r="F134">
        <v>96</v>
      </c>
      <c r="G134">
        <v>72</v>
      </c>
      <c r="H134">
        <v>57</v>
      </c>
      <c r="I134">
        <v>17</v>
      </c>
      <c r="J134">
        <v>82</v>
      </c>
      <c r="K134">
        <v>13</v>
      </c>
      <c r="L134">
        <v>1</v>
      </c>
      <c r="M134">
        <v>15</v>
      </c>
      <c r="N134">
        <v>79</v>
      </c>
      <c r="O134">
        <v>77</v>
      </c>
    </row>
    <row r="135" spans="1:15" x14ac:dyDescent="0.25">
      <c r="A135" t="s">
        <v>554</v>
      </c>
      <c r="B135" t="s">
        <v>420</v>
      </c>
      <c r="C135" t="s">
        <v>52</v>
      </c>
      <c r="D135">
        <v>59</v>
      </c>
      <c r="E135">
        <v>61</v>
      </c>
      <c r="F135">
        <v>12</v>
      </c>
      <c r="G135">
        <v>98</v>
      </c>
      <c r="H135">
        <v>57</v>
      </c>
      <c r="I135">
        <v>46</v>
      </c>
      <c r="J135">
        <v>30</v>
      </c>
      <c r="K135">
        <v>90</v>
      </c>
      <c r="L135">
        <v>77</v>
      </c>
      <c r="M135">
        <v>89</v>
      </c>
      <c r="N135">
        <v>44</v>
      </c>
      <c r="O135">
        <v>71</v>
      </c>
    </row>
    <row r="136" spans="1:15" x14ac:dyDescent="0.25">
      <c r="A136" t="s">
        <v>555</v>
      </c>
      <c r="B136" t="s">
        <v>420</v>
      </c>
      <c r="C136" t="s">
        <v>52</v>
      </c>
      <c r="D136">
        <v>55</v>
      </c>
      <c r="E136">
        <v>9</v>
      </c>
      <c r="F136">
        <v>3</v>
      </c>
      <c r="G136">
        <v>18</v>
      </c>
      <c r="H136">
        <v>9</v>
      </c>
      <c r="I136">
        <v>62</v>
      </c>
      <c r="J136">
        <v>42</v>
      </c>
      <c r="K136">
        <v>17</v>
      </c>
      <c r="L136">
        <v>53</v>
      </c>
      <c r="M136">
        <v>21</v>
      </c>
      <c r="N136">
        <v>93</v>
      </c>
      <c r="O136">
        <v>33</v>
      </c>
    </row>
    <row r="137" spans="1:15" x14ac:dyDescent="0.25">
      <c r="A137" t="s">
        <v>556</v>
      </c>
      <c r="B137" t="s">
        <v>193</v>
      </c>
      <c r="C137" t="s">
        <v>52</v>
      </c>
      <c r="D137">
        <v>9</v>
      </c>
      <c r="E137">
        <v>58</v>
      </c>
      <c r="F137">
        <v>83</v>
      </c>
      <c r="G137">
        <v>76</v>
      </c>
      <c r="H137">
        <v>12</v>
      </c>
      <c r="I137">
        <v>6</v>
      </c>
      <c r="J137">
        <v>57</v>
      </c>
      <c r="K137">
        <v>31</v>
      </c>
      <c r="L137">
        <v>25</v>
      </c>
      <c r="M137">
        <v>33</v>
      </c>
      <c r="N137">
        <v>32</v>
      </c>
      <c r="O137">
        <v>84</v>
      </c>
    </row>
    <row r="138" spans="1:15" x14ac:dyDescent="0.25">
      <c r="A138" t="s">
        <v>557</v>
      </c>
      <c r="B138" t="s">
        <v>420</v>
      </c>
      <c r="C138" t="s">
        <v>52</v>
      </c>
      <c r="D138">
        <v>1</v>
      </c>
      <c r="E138">
        <v>27</v>
      </c>
      <c r="F138">
        <v>1</v>
      </c>
      <c r="G138">
        <v>20</v>
      </c>
      <c r="H138">
        <v>12</v>
      </c>
      <c r="I138">
        <v>52</v>
      </c>
      <c r="J138">
        <v>79</v>
      </c>
      <c r="K138">
        <v>63</v>
      </c>
      <c r="L138">
        <v>18</v>
      </c>
      <c r="M138">
        <v>99</v>
      </c>
      <c r="N138">
        <v>76</v>
      </c>
      <c r="O138">
        <v>94</v>
      </c>
    </row>
    <row r="139" spans="1:15" x14ac:dyDescent="0.25">
      <c r="A139" t="s">
        <v>558</v>
      </c>
      <c r="B139" t="s">
        <v>414</v>
      </c>
      <c r="C139" t="s">
        <v>13</v>
      </c>
      <c r="D139">
        <v>95</v>
      </c>
      <c r="E139">
        <v>86</v>
      </c>
      <c r="F139">
        <v>69</v>
      </c>
      <c r="G139">
        <v>65</v>
      </c>
      <c r="H139">
        <v>4</v>
      </c>
      <c r="I139">
        <v>24</v>
      </c>
      <c r="J139">
        <v>21</v>
      </c>
      <c r="K139">
        <v>62</v>
      </c>
      <c r="L139">
        <v>45</v>
      </c>
      <c r="M139">
        <v>28</v>
      </c>
      <c r="N139">
        <v>42</v>
      </c>
      <c r="O139">
        <v>51</v>
      </c>
    </row>
    <row r="140" spans="1:15" x14ac:dyDescent="0.25">
      <c r="A140" t="s">
        <v>559</v>
      </c>
      <c r="B140" t="s">
        <v>414</v>
      </c>
      <c r="C140" t="s">
        <v>14</v>
      </c>
      <c r="D140">
        <v>100</v>
      </c>
      <c r="E140">
        <v>53</v>
      </c>
      <c r="F140">
        <v>13</v>
      </c>
      <c r="G140">
        <v>10</v>
      </c>
      <c r="H140">
        <v>97</v>
      </c>
      <c r="I140">
        <v>45</v>
      </c>
      <c r="J140">
        <v>82</v>
      </c>
      <c r="K140">
        <v>72</v>
      </c>
      <c r="L140">
        <v>7</v>
      </c>
      <c r="M140">
        <v>18</v>
      </c>
      <c r="N140">
        <v>94</v>
      </c>
      <c r="O140">
        <v>78</v>
      </c>
    </row>
    <row r="141" spans="1:15" x14ac:dyDescent="0.25">
      <c r="A141" t="s">
        <v>560</v>
      </c>
      <c r="B141" t="s">
        <v>420</v>
      </c>
      <c r="C141" t="s">
        <v>12</v>
      </c>
      <c r="D141">
        <v>32</v>
      </c>
      <c r="E141">
        <v>35</v>
      </c>
      <c r="F141">
        <v>76</v>
      </c>
      <c r="G141">
        <v>83</v>
      </c>
      <c r="H141">
        <v>47</v>
      </c>
      <c r="I141">
        <v>92</v>
      </c>
      <c r="J141">
        <v>44</v>
      </c>
      <c r="K141">
        <v>33</v>
      </c>
      <c r="L141">
        <v>50</v>
      </c>
      <c r="M141">
        <v>11</v>
      </c>
      <c r="N141">
        <v>48</v>
      </c>
      <c r="O141">
        <v>45</v>
      </c>
    </row>
    <row r="142" spans="1:15" x14ac:dyDescent="0.25">
      <c r="A142" t="s">
        <v>561</v>
      </c>
      <c r="B142" t="s">
        <v>193</v>
      </c>
      <c r="C142" t="s">
        <v>52</v>
      </c>
      <c r="D142">
        <v>49</v>
      </c>
      <c r="E142">
        <v>48</v>
      </c>
      <c r="F142">
        <v>31</v>
      </c>
      <c r="G142">
        <v>70</v>
      </c>
      <c r="H142">
        <v>19</v>
      </c>
      <c r="I142">
        <v>46</v>
      </c>
      <c r="J142">
        <v>85</v>
      </c>
      <c r="K142">
        <v>98</v>
      </c>
      <c r="L142">
        <v>26</v>
      </c>
      <c r="M142">
        <v>14</v>
      </c>
      <c r="N142">
        <v>65</v>
      </c>
      <c r="O142">
        <v>85</v>
      </c>
    </row>
    <row r="143" spans="1:15" x14ac:dyDescent="0.25">
      <c r="A143" t="s">
        <v>562</v>
      </c>
      <c r="B143" t="s">
        <v>414</v>
      </c>
      <c r="C143" t="s">
        <v>13</v>
      </c>
      <c r="D143">
        <v>92</v>
      </c>
      <c r="E143">
        <v>29</v>
      </c>
      <c r="F143">
        <v>78</v>
      </c>
      <c r="G143">
        <v>82</v>
      </c>
      <c r="H143">
        <v>85</v>
      </c>
      <c r="I143">
        <v>40</v>
      </c>
      <c r="J143">
        <v>33</v>
      </c>
      <c r="K143">
        <v>92</v>
      </c>
      <c r="L143">
        <v>23</v>
      </c>
      <c r="M143">
        <v>14</v>
      </c>
      <c r="N143">
        <v>60</v>
      </c>
      <c r="O143">
        <v>84</v>
      </c>
    </row>
    <row r="144" spans="1:15" x14ac:dyDescent="0.25">
      <c r="A144" t="s">
        <v>563</v>
      </c>
      <c r="B144" t="s">
        <v>420</v>
      </c>
      <c r="C144" t="s">
        <v>13</v>
      </c>
      <c r="D144">
        <v>6</v>
      </c>
      <c r="E144">
        <v>75</v>
      </c>
      <c r="F144">
        <v>80</v>
      </c>
      <c r="G144">
        <v>78</v>
      </c>
      <c r="H144">
        <v>2</v>
      </c>
      <c r="I144">
        <v>85</v>
      </c>
      <c r="J144">
        <v>20</v>
      </c>
      <c r="K144">
        <v>7</v>
      </c>
      <c r="L144">
        <v>58</v>
      </c>
      <c r="M144">
        <v>84</v>
      </c>
      <c r="N144">
        <v>93</v>
      </c>
      <c r="O144">
        <v>95</v>
      </c>
    </row>
    <row r="145" spans="1:15" x14ac:dyDescent="0.25">
      <c r="A145" t="s">
        <v>564</v>
      </c>
      <c r="B145" t="s">
        <v>419</v>
      </c>
      <c r="C145" t="s">
        <v>12</v>
      </c>
      <c r="D145">
        <v>4</v>
      </c>
      <c r="E145">
        <v>85</v>
      </c>
      <c r="F145">
        <v>8</v>
      </c>
      <c r="G145">
        <v>61</v>
      </c>
      <c r="H145">
        <v>88</v>
      </c>
      <c r="I145">
        <v>35</v>
      </c>
      <c r="J145">
        <v>24</v>
      </c>
      <c r="K145">
        <v>91</v>
      </c>
      <c r="L145">
        <v>6</v>
      </c>
      <c r="M145">
        <v>62</v>
      </c>
      <c r="N145">
        <v>48</v>
      </c>
      <c r="O145">
        <v>70</v>
      </c>
    </row>
    <row r="146" spans="1:15" x14ac:dyDescent="0.25">
      <c r="A146" t="s">
        <v>565</v>
      </c>
      <c r="B146" t="s">
        <v>420</v>
      </c>
      <c r="C146" t="s">
        <v>14</v>
      </c>
      <c r="D146">
        <v>82</v>
      </c>
      <c r="E146">
        <v>20</v>
      </c>
      <c r="F146">
        <v>51</v>
      </c>
      <c r="G146">
        <v>89</v>
      </c>
      <c r="H146">
        <v>70</v>
      </c>
      <c r="I146">
        <v>91</v>
      </c>
      <c r="J146">
        <v>39</v>
      </c>
      <c r="K146">
        <v>99</v>
      </c>
      <c r="L146">
        <v>50</v>
      </c>
      <c r="M146">
        <v>75</v>
      </c>
      <c r="N146">
        <v>27</v>
      </c>
      <c r="O146">
        <v>94</v>
      </c>
    </row>
    <row r="147" spans="1:15" x14ac:dyDescent="0.25">
      <c r="A147" t="s">
        <v>566</v>
      </c>
      <c r="B147" t="s">
        <v>419</v>
      </c>
      <c r="C147" t="s">
        <v>12</v>
      </c>
      <c r="D147">
        <v>36</v>
      </c>
      <c r="E147">
        <v>69</v>
      </c>
      <c r="F147">
        <v>20</v>
      </c>
      <c r="G147">
        <v>13</v>
      </c>
      <c r="H147">
        <v>49</v>
      </c>
      <c r="I147">
        <v>1</v>
      </c>
      <c r="J147">
        <v>53</v>
      </c>
      <c r="K147">
        <v>25</v>
      </c>
      <c r="L147">
        <v>15</v>
      </c>
      <c r="M147">
        <v>60</v>
      </c>
      <c r="N147">
        <v>54</v>
      </c>
      <c r="O147">
        <v>4</v>
      </c>
    </row>
    <row r="148" spans="1:15" x14ac:dyDescent="0.25">
      <c r="A148" t="s">
        <v>567</v>
      </c>
      <c r="B148" t="s">
        <v>420</v>
      </c>
      <c r="C148" t="s">
        <v>52</v>
      </c>
      <c r="D148">
        <v>78</v>
      </c>
      <c r="E148">
        <v>43</v>
      </c>
      <c r="F148">
        <v>87</v>
      </c>
      <c r="G148">
        <v>64</v>
      </c>
      <c r="H148">
        <v>26</v>
      </c>
      <c r="I148">
        <v>74</v>
      </c>
      <c r="J148">
        <v>30</v>
      </c>
      <c r="K148">
        <v>65</v>
      </c>
      <c r="L148">
        <v>63</v>
      </c>
      <c r="M148">
        <v>93</v>
      </c>
      <c r="N148">
        <v>24</v>
      </c>
      <c r="O148">
        <v>31</v>
      </c>
    </row>
    <row r="149" spans="1:15" x14ac:dyDescent="0.25">
      <c r="A149" t="s">
        <v>568</v>
      </c>
      <c r="B149" t="s">
        <v>419</v>
      </c>
      <c r="C149" t="s">
        <v>12</v>
      </c>
      <c r="D149">
        <v>26</v>
      </c>
      <c r="E149">
        <v>14</v>
      </c>
      <c r="F149">
        <v>62</v>
      </c>
      <c r="G149">
        <v>12</v>
      </c>
      <c r="H149">
        <v>37</v>
      </c>
      <c r="I149">
        <v>40</v>
      </c>
      <c r="J149">
        <v>57</v>
      </c>
      <c r="K149">
        <v>51</v>
      </c>
      <c r="L149">
        <v>14</v>
      </c>
      <c r="M149">
        <v>51</v>
      </c>
      <c r="N149">
        <v>88</v>
      </c>
      <c r="O149">
        <v>55</v>
      </c>
    </row>
    <row r="150" spans="1:15" x14ac:dyDescent="0.25">
      <c r="A150" t="s">
        <v>569</v>
      </c>
      <c r="B150" t="s">
        <v>420</v>
      </c>
      <c r="C150" t="s">
        <v>14</v>
      </c>
      <c r="D150">
        <v>62</v>
      </c>
      <c r="E150">
        <v>70</v>
      </c>
      <c r="F150">
        <v>67</v>
      </c>
      <c r="G150">
        <v>32</v>
      </c>
      <c r="H150">
        <v>53</v>
      </c>
      <c r="I150">
        <v>75</v>
      </c>
      <c r="J150">
        <v>9</v>
      </c>
      <c r="K150">
        <v>88</v>
      </c>
      <c r="L150">
        <v>96</v>
      </c>
      <c r="M150">
        <v>27</v>
      </c>
      <c r="N150">
        <v>3</v>
      </c>
      <c r="O150">
        <v>73</v>
      </c>
    </row>
    <row r="151" spans="1:15" x14ac:dyDescent="0.25">
      <c r="A151" t="s">
        <v>570</v>
      </c>
      <c r="B151" t="s">
        <v>414</v>
      </c>
      <c r="C151" t="s">
        <v>52</v>
      </c>
      <c r="D151">
        <v>57</v>
      </c>
      <c r="E151">
        <v>9</v>
      </c>
      <c r="F151">
        <v>95</v>
      </c>
      <c r="G151">
        <v>32</v>
      </c>
      <c r="H151">
        <v>57</v>
      </c>
      <c r="I151">
        <v>54</v>
      </c>
      <c r="J151">
        <v>88</v>
      </c>
      <c r="K151">
        <v>22</v>
      </c>
      <c r="L151">
        <v>47</v>
      </c>
      <c r="M151">
        <v>71</v>
      </c>
      <c r="N151">
        <v>45</v>
      </c>
      <c r="O151">
        <v>9</v>
      </c>
    </row>
  </sheetData>
  <pageMargins left="0.7" right="0.32291666666666669"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CC1A27-FE78-41E5-BA70-8FE6044F7CB5}">
  <sheetPr codeName="Sheet5"/>
  <dimension ref="A1:K15"/>
  <sheetViews>
    <sheetView workbookViewId="0">
      <selection activeCell="M28" sqref="M28"/>
    </sheetView>
  </sheetViews>
  <sheetFormatPr defaultRowHeight="15" x14ac:dyDescent="0.25"/>
  <cols>
    <col min="1" max="1" width="11.28515625" bestFit="1" customWidth="1"/>
    <col min="2" max="2" width="7.140625" bestFit="1" customWidth="1"/>
    <col min="3" max="3" width="8.140625" bestFit="1" customWidth="1"/>
    <col min="4" max="4" width="17.5703125" bestFit="1" customWidth="1"/>
    <col min="6" max="6" width="8.85546875" bestFit="1" customWidth="1"/>
    <col min="7" max="7" width="12.140625" bestFit="1" customWidth="1"/>
    <col min="8" max="8" width="10.28515625" bestFit="1" customWidth="1"/>
    <col min="9" max="9" width="7.28515625" bestFit="1" customWidth="1"/>
    <col min="10" max="10" width="10.28515625" bestFit="1" customWidth="1"/>
    <col min="11" max="11" width="8.28515625" bestFit="1" customWidth="1"/>
  </cols>
  <sheetData>
    <row r="1" spans="1:11" x14ac:dyDescent="0.25">
      <c r="A1" t="s">
        <v>0</v>
      </c>
      <c r="B1" t="s">
        <v>396</v>
      </c>
      <c r="C1" t="s">
        <v>178</v>
      </c>
      <c r="D1" t="s">
        <v>397</v>
      </c>
      <c r="E1" t="s">
        <v>398</v>
      </c>
      <c r="F1" t="s">
        <v>399</v>
      </c>
      <c r="G1" t="s">
        <v>400</v>
      </c>
      <c r="H1" t="s">
        <v>401</v>
      </c>
      <c r="I1" t="s">
        <v>402</v>
      </c>
      <c r="J1" t="s">
        <v>403</v>
      </c>
      <c r="K1" t="s">
        <v>404</v>
      </c>
    </row>
    <row r="2" spans="1:11" x14ac:dyDescent="0.25">
      <c r="A2" t="s">
        <v>189</v>
      </c>
      <c r="B2">
        <v>1001</v>
      </c>
      <c r="C2" t="s">
        <v>180</v>
      </c>
      <c r="D2" t="s">
        <v>411</v>
      </c>
      <c r="E2">
        <v>218</v>
      </c>
      <c r="F2">
        <v>653</v>
      </c>
      <c r="G2">
        <v>292</v>
      </c>
      <c r="H2">
        <v>914</v>
      </c>
      <c r="I2">
        <v>557</v>
      </c>
      <c r="J2">
        <v>456</v>
      </c>
      <c r="K2">
        <v>543</v>
      </c>
    </row>
    <row r="3" spans="1:11" x14ac:dyDescent="0.25">
      <c r="A3" t="s">
        <v>112</v>
      </c>
      <c r="B3">
        <v>1002</v>
      </c>
      <c r="C3" t="s">
        <v>179</v>
      </c>
      <c r="D3" t="s">
        <v>412</v>
      </c>
      <c r="E3">
        <v>429</v>
      </c>
      <c r="F3">
        <v>254</v>
      </c>
      <c r="G3">
        <v>703</v>
      </c>
      <c r="H3">
        <v>100</v>
      </c>
      <c r="I3">
        <v>146</v>
      </c>
      <c r="J3">
        <v>733</v>
      </c>
      <c r="K3">
        <v>262</v>
      </c>
    </row>
    <row r="4" spans="1:11" x14ac:dyDescent="0.25">
      <c r="A4" t="s">
        <v>113</v>
      </c>
      <c r="B4">
        <v>1003</v>
      </c>
      <c r="C4" t="s">
        <v>179</v>
      </c>
      <c r="D4" t="s">
        <v>413</v>
      </c>
      <c r="E4">
        <v>614</v>
      </c>
      <c r="F4">
        <v>583</v>
      </c>
      <c r="G4">
        <v>645</v>
      </c>
      <c r="H4">
        <v>546</v>
      </c>
      <c r="I4">
        <v>277</v>
      </c>
      <c r="J4">
        <v>692</v>
      </c>
      <c r="K4">
        <v>998</v>
      </c>
    </row>
    <row r="5" spans="1:11" x14ac:dyDescent="0.25">
      <c r="A5" t="s">
        <v>405</v>
      </c>
      <c r="B5">
        <v>1004</v>
      </c>
      <c r="C5" t="s">
        <v>179</v>
      </c>
      <c r="D5" t="s">
        <v>414</v>
      </c>
      <c r="E5">
        <v>511</v>
      </c>
      <c r="F5">
        <v>545</v>
      </c>
      <c r="G5">
        <v>731</v>
      </c>
      <c r="H5">
        <v>953</v>
      </c>
      <c r="I5">
        <v>1000</v>
      </c>
      <c r="J5">
        <v>964</v>
      </c>
      <c r="K5">
        <v>742</v>
      </c>
    </row>
    <row r="6" spans="1:11" x14ac:dyDescent="0.25">
      <c r="A6" t="s">
        <v>406</v>
      </c>
      <c r="B6">
        <v>1005</v>
      </c>
      <c r="C6" t="s">
        <v>180</v>
      </c>
      <c r="D6" t="s">
        <v>194</v>
      </c>
      <c r="E6">
        <v>825</v>
      </c>
      <c r="F6">
        <v>108</v>
      </c>
      <c r="G6">
        <v>109</v>
      </c>
      <c r="H6">
        <v>521</v>
      </c>
      <c r="I6">
        <v>675</v>
      </c>
      <c r="J6">
        <v>422</v>
      </c>
      <c r="K6">
        <v>906</v>
      </c>
    </row>
    <row r="7" spans="1:11" x14ac:dyDescent="0.25">
      <c r="A7" t="s">
        <v>139</v>
      </c>
      <c r="B7">
        <v>1006</v>
      </c>
      <c r="C7" t="s">
        <v>180</v>
      </c>
      <c r="D7" t="s">
        <v>415</v>
      </c>
      <c r="E7">
        <v>296</v>
      </c>
      <c r="F7">
        <v>567</v>
      </c>
      <c r="G7">
        <v>368</v>
      </c>
      <c r="H7">
        <v>730</v>
      </c>
      <c r="I7">
        <v>326</v>
      </c>
      <c r="J7">
        <v>633</v>
      </c>
      <c r="K7">
        <v>419</v>
      </c>
    </row>
    <row r="8" spans="1:11" x14ac:dyDescent="0.25">
      <c r="A8" t="s">
        <v>407</v>
      </c>
      <c r="B8">
        <v>1007</v>
      </c>
      <c r="C8" t="s">
        <v>180</v>
      </c>
      <c r="D8" t="s">
        <v>416</v>
      </c>
      <c r="E8">
        <v>509</v>
      </c>
      <c r="F8">
        <v>630</v>
      </c>
      <c r="G8">
        <v>960</v>
      </c>
      <c r="H8">
        <v>636</v>
      </c>
      <c r="I8">
        <v>234</v>
      </c>
      <c r="J8">
        <v>300</v>
      </c>
      <c r="K8">
        <v>993</v>
      </c>
    </row>
    <row r="9" spans="1:11" x14ac:dyDescent="0.25">
      <c r="A9" t="s">
        <v>406</v>
      </c>
      <c r="B9">
        <v>1008</v>
      </c>
      <c r="C9" t="s">
        <v>186</v>
      </c>
      <c r="D9" t="s">
        <v>193</v>
      </c>
      <c r="E9">
        <v>369</v>
      </c>
      <c r="F9">
        <v>454</v>
      </c>
      <c r="G9">
        <v>936</v>
      </c>
      <c r="H9">
        <v>697</v>
      </c>
      <c r="I9">
        <v>754</v>
      </c>
      <c r="J9">
        <v>893</v>
      </c>
      <c r="K9">
        <v>311</v>
      </c>
    </row>
    <row r="10" spans="1:11" x14ac:dyDescent="0.25">
      <c r="A10" t="s">
        <v>408</v>
      </c>
      <c r="B10">
        <v>1009</v>
      </c>
      <c r="C10" t="s">
        <v>179</v>
      </c>
      <c r="D10" t="s">
        <v>417</v>
      </c>
      <c r="E10">
        <v>882</v>
      </c>
      <c r="F10">
        <v>742</v>
      </c>
      <c r="G10">
        <v>308</v>
      </c>
      <c r="H10">
        <v>655</v>
      </c>
      <c r="I10">
        <v>284</v>
      </c>
      <c r="J10">
        <v>744</v>
      </c>
      <c r="K10">
        <v>885</v>
      </c>
    </row>
    <row r="11" spans="1:11" x14ac:dyDescent="0.25">
      <c r="A11" t="s">
        <v>409</v>
      </c>
      <c r="B11">
        <v>1010</v>
      </c>
      <c r="C11" t="s">
        <v>186</v>
      </c>
      <c r="D11" t="s">
        <v>418</v>
      </c>
      <c r="E11">
        <v>484</v>
      </c>
      <c r="F11">
        <v>525</v>
      </c>
      <c r="G11">
        <v>279</v>
      </c>
      <c r="H11">
        <v>776</v>
      </c>
      <c r="I11">
        <v>758</v>
      </c>
      <c r="J11">
        <v>150</v>
      </c>
      <c r="K11">
        <v>365</v>
      </c>
    </row>
    <row r="12" spans="1:11" x14ac:dyDescent="0.25">
      <c r="A12" t="s">
        <v>410</v>
      </c>
      <c r="B12">
        <v>1011</v>
      </c>
      <c r="C12" t="s">
        <v>179</v>
      </c>
      <c r="D12" t="s">
        <v>195</v>
      </c>
      <c r="E12">
        <v>987</v>
      </c>
      <c r="F12">
        <v>114</v>
      </c>
      <c r="G12">
        <v>264</v>
      </c>
      <c r="H12">
        <v>405</v>
      </c>
      <c r="I12">
        <v>396</v>
      </c>
      <c r="J12">
        <v>433</v>
      </c>
      <c r="K12">
        <v>593</v>
      </c>
    </row>
    <row r="13" spans="1:11" x14ac:dyDescent="0.25">
      <c r="A13" t="s">
        <v>406</v>
      </c>
      <c r="B13">
        <v>1012</v>
      </c>
      <c r="C13" t="s">
        <v>179</v>
      </c>
      <c r="D13" t="s">
        <v>193</v>
      </c>
      <c r="E13">
        <v>317</v>
      </c>
      <c r="F13">
        <v>602</v>
      </c>
      <c r="G13">
        <v>288</v>
      </c>
      <c r="H13">
        <v>966</v>
      </c>
      <c r="I13">
        <v>702</v>
      </c>
      <c r="J13">
        <v>550</v>
      </c>
      <c r="K13">
        <v>289</v>
      </c>
    </row>
    <row r="14" spans="1:11" x14ac:dyDescent="0.25">
      <c r="A14" t="s">
        <v>214</v>
      </c>
      <c r="B14">
        <v>1013</v>
      </c>
      <c r="C14" t="s">
        <v>186</v>
      </c>
      <c r="D14" t="s">
        <v>419</v>
      </c>
      <c r="E14">
        <v>237</v>
      </c>
      <c r="F14">
        <v>715</v>
      </c>
      <c r="G14">
        <v>788</v>
      </c>
      <c r="H14">
        <v>604</v>
      </c>
      <c r="I14">
        <v>888</v>
      </c>
      <c r="J14">
        <v>735</v>
      </c>
      <c r="K14">
        <v>139</v>
      </c>
    </row>
    <row r="15" spans="1:11" x14ac:dyDescent="0.25">
      <c r="A15" t="s">
        <v>245</v>
      </c>
      <c r="B15">
        <v>1014</v>
      </c>
      <c r="C15" t="s">
        <v>186</v>
      </c>
      <c r="D15" t="s">
        <v>420</v>
      </c>
      <c r="E15">
        <v>578</v>
      </c>
      <c r="F15">
        <v>863</v>
      </c>
      <c r="G15">
        <v>729</v>
      </c>
      <c r="H15">
        <v>578</v>
      </c>
      <c r="I15">
        <v>113</v>
      </c>
      <c r="J15">
        <v>372</v>
      </c>
      <c r="K15">
        <v>278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AEAA2-A3A5-468D-BC6F-EA5BD161993F}">
  <sheetPr codeName="Sheet6"/>
  <dimension ref="A1:D14"/>
  <sheetViews>
    <sheetView zoomScale="190" zoomScaleNormal="190" workbookViewId="0">
      <selection activeCell="M28" sqref="M28"/>
    </sheetView>
  </sheetViews>
  <sheetFormatPr defaultRowHeight="15" x14ac:dyDescent="0.25"/>
  <cols>
    <col min="1" max="1" width="14" bestFit="1" customWidth="1"/>
    <col min="2" max="2" width="31.28515625" bestFit="1" customWidth="1"/>
    <col min="3" max="3" width="8.140625" bestFit="1" customWidth="1"/>
  </cols>
  <sheetData>
    <row r="1" spans="1:4" x14ac:dyDescent="0.25">
      <c r="A1" t="s">
        <v>383</v>
      </c>
    </row>
    <row r="2" spans="1:4" x14ac:dyDescent="0.25">
      <c r="A2" t="s">
        <v>384</v>
      </c>
    </row>
    <row r="3" spans="1:4" x14ac:dyDescent="0.25">
      <c r="A3" t="s">
        <v>385</v>
      </c>
      <c r="B3" s="5" t="s">
        <v>393</v>
      </c>
      <c r="C3" t="str">
        <f>LEFT(B3,FIND("M",B3)-1)</f>
        <v>HANSAL</v>
      </c>
      <c r="D3" t="str">
        <f>MID(B3,FIND("M",B3),FIND("2",B3)-1-FIND("L",B3))</f>
        <v>MEHTAM</v>
      </c>
    </row>
    <row r="4" spans="1:4" x14ac:dyDescent="0.25">
      <c r="A4" t="s">
        <v>386</v>
      </c>
      <c r="C4">
        <f>FIND("M",B3,FIND("M",B3)+1)</f>
        <v>12</v>
      </c>
    </row>
    <row r="5" spans="1:4" x14ac:dyDescent="0.25">
      <c r="A5" t="s">
        <v>387</v>
      </c>
    </row>
    <row r="6" spans="1:4" x14ac:dyDescent="0.25">
      <c r="A6" t="s">
        <v>388</v>
      </c>
    </row>
    <row r="7" spans="1:4" x14ac:dyDescent="0.25">
      <c r="A7" t="s">
        <v>389</v>
      </c>
    </row>
    <row r="8" spans="1:4" x14ac:dyDescent="0.25">
      <c r="A8" t="s">
        <v>291</v>
      </c>
    </row>
    <row r="9" spans="1:4" x14ac:dyDescent="0.25">
      <c r="A9" t="s">
        <v>290</v>
      </c>
    </row>
    <row r="10" spans="1:4" x14ac:dyDescent="0.25">
      <c r="A10" t="s">
        <v>390</v>
      </c>
    </row>
    <row r="11" spans="1:4" x14ac:dyDescent="0.25">
      <c r="A11" t="s">
        <v>391</v>
      </c>
    </row>
    <row r="12" spans="1:4" x14ac:dyDescent="0.25">
      <c r="A12" t="s">
        <v>392</v>
      </c>
    </row>
    <row r="13" spans="1:4" x14ac:dyDescent="0.25">
      <c r="A13" t="s">
        <v>394</v>
      </c>
    </row>
    <row r="14" spans="1:4" x14ac:dyDescent="0.25">
      <c r="A14" t="s">
        <v>395</v>
      </c>
    </row>
  </sheetData>
  <hyperlinks>
    <hyperlink ref="B3" r:id="rId1" xr:uid="{8FA55ABB-AF8E-4156-A6CF-D6CF008B3A6B}"/>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23026-B979-499E-87F1-92D94290B967}">
  <sheetPr codeName="Sheet7"/>
  <dimension ref="A1:Q20"/>
  <sheetViews>
    <sheetView workbookViewId="0">
      <selection activeCell="M28" sqref="M28"/>
    </sheetView>
  </sheetViews>
  <sheetFormatPr defaultRowHeight="15" x14ac:dyDescent="0.25"/>
  <cols>
    <col min="1" max="1" width="16.42578125" bestFit="1" customWidth="1"/>
    <col min="5" max="5" width="12.42578125" bestFit="1" customWidth="1"/>
    <col min="7" max="7" width="12.42578125" bestFit="1" customWidth="1"/>
  </cols>
  <sheetData>
    <row r="1" spans="1:17" x14ac:dyDescent="0.25">
      <c r="A1" t="s">
        <v>0</v>
      </c>
      <c r="B1" t="s">
        <v>178</v>
      </c>
      <c r="C1" t="s">
        <v>181</v>
      </c>
    </row>
    <row r="2" spans="1:17" x14ac:dyDescent="0.25">
      <c r="A2" t="s">
        <v>174</v>
      </c>
      <c r="B2" t="s">
        <v>179</v>
      </c>
      <c r="C2" t="s">
        <v>182</v>
      </c>
      <c r="E2" t="str">
        <f>IF(B2="MALE","MR"&amp;" "&amp;A2,"MRS"&amp;" "&amp;A2)</f>
        <v>MR ROHIT</v>
      </c>
      <c r="F2" t="s">
        <v>174</v>
      </c>
      <c r="G2" t="str">
        <f>IF(B2="MALE","MR"&amp;" "&amp;A2,IF(B2="FEMALE","MRS"&amp;" "&amp;A2,IF(B2="OTHER",A2,"ERROR")))</f>
        <v>MR ROHIT</v>
      </c>
      <c r="J2" t="str">
        <f>MID($A2,COLUMNS($J1:J1),1)</f>
        <v>R</v>
      </c>
      <c r="K2" t="str">
        <f>MID($A2,COLUMNS($J1:K1),1)</f>
        <v>O</v>
      </c>
      <c r="L2" t="str">
        <f>MID($A2,COLUMNS($J1:L1),1)</f>
        <v>H</v>
      </c>
      <c r="M2" t="str">
        <f>MID($A2,COLUMNS($J1:M1),1)</f>
        <v>I</v>
      </c>
      <c r="N2" t="str">
        <f>MID($A2,COLUMNS($J1:N1),1)</f>
        <v>T</v>
      </c>
      <c r="O2" t="str">
        <f>MID($A2,COLUMNS($J1:O1),1)</f>
        <v/>
      </c>
      <c r="P2" t="str">
        <f>MID($A2,COLUMNS($J1:P1),1)</f>
        <v/>
      </c>
      <c r="Q2" t="str">
        <f>MID($A2,COLUMNS($J1:Q1),1)</f>
        <v/>
      </c>
    </row>
    <row r="3" spans="1:17" x14ac:dyDescent="0.25">
      <c r="A3" t="s">
        <v>133</v>
      </c>
      <c r="B3" t="s">
        <v>180</v>
      </c>
      <c r="C3" t="s">
        <v>183</v>
      </c>
      <c r="E3" t="str">
        <f t="shared" ref="E3:E6" si="0">IF(B3="MALE","MR"&amp;" "&amp;A3,"MRS"&amp;" "&amp;A3)</f>
        <v>MRS MOHIT</v>
      </c>
      <c r="G3" t="str">
        <f t="shared" ref="G3:G5" si="1">IF(B3="MALE","MR"&amp;" "&amp;A3,IF(B3="FEMALE","MRS"&amp;" "&amp;A3,IF(B3="OTHER",A3,"ERROR")))</f>
        <v>MRS MOHIT</v>
      </c>
      <c r="J3" t="str">
        <f>MID($A3,COLUMNS($J2:J2),1)</f>
        <v>M</v>
      </c>
      <c r="K3" t="str">
        <f>MID($A3,COLUMNS($J2:K2),1)</f>
        <v>O</v>
      </c>
      <c r="L3" t="str">
        <f>MID($A3,COLUMNS($J2:L2),1)</f>
        <v>H</v>
      </c>
      <c r="M3" t="str">
        <f>MID($A3,COLUMNS($J2:M2),1)</f>
        <v>I</v>
      </c>
      <c r="N3" t="str">
        <f>MID($A3,COLUMNS($J2:N2),1)</f>
        <v>T</v>
      </c>
      <c r="O3" t="str">
        <f>MID($A3,COLUMNS($J2:O2),1)</f>
        <v/>
      </c>
      <c r="P3" t="str">
        <f>MID($A3,COLUMNS($J2:P2),1)</f>
        <v/>
      </c>
      <c r="Q3" t="str">
        <f>MID($A3,COLUMNS($J2:Q2),1)</f>
        <v/>
      </c>
    </row>
    <row r="4" spans="1:17" x14ac:dyDescent="0.25">
      <c r="A4" t="s">
        <v>175</v>
      </c>
      <c r="B4" t="s">
        <v>186</v>
      </c>
      <c r="C4" t="s">
        <v>175</v>
      </c>
      <c r="E4" t="str">
        <f t="shared" si="0"/>
        <v>MRS RIYA</v>
      </c>
      <c r="G4" t="str">
        <f t="shared" si="1"/>
        <v>RIYA</v>
      </c>
      <c r="J4" t="str">
        <f>MID($A4,COLUMNS($J3:J3),1)</f>
        <v>R</v>
      </c>
      <c r="K4" t="str">
        <f>MID($A4,COLUMNS($J3:K3),1)</f>
        <v>I</v>
      </c>
      <c r="L4" t="str">
        <f>MID($A4,COLUMNS($J3:L3),1)</f>
        <v>Y</v>
      </c>
      <c r="M4" t="str">
        <f>MID($A4,COLUMNS($J3:M3),1)</f>
        <v>A</v>
      </c>
      <c r="N4" t="str">
        <f>MID($A4,COLUMNS($J3:N3),1)</f>
        <v/>
      </c>
      <c r="O4" t="str">
        <f>MID($A4,COLUMNS($J3:O3),1)</f>
        <v/>
      </c>
      <c r="P4" t="str">
        <f>MID($A4,COLUMNS($J3:P3),1)</f>
        <v/>
      </c>
      <c r="Q4" t="str">
        <f>MID($A4,COLUMNS($J3:Q3),1)</f>
        <v/>
      </c>
    </row>
    <row r="5" spans="1:17" x14ac:dyDescent="0.25">
      <c r="A5" t="s">
        <v>176</v>
      </c>
      <c r="B5" t="s">
        <v>180</v>
      </c>
      <c r="C5" t="s">
        <v>184</v>
      </c>
      <c r="E5" t="str">
        <f t="shared" si="0"/>
        <v>MRS PRIYA</v>
      </c>
      <c r="G5" t="str">
        <f t="shared" si="1"/>
        <v>MRS PRIYA</v>
      </c>
      <c r="J5" t="str">
        <f>MID($A5,COLUMNS($J4:J4),1)</f>
        <v>P</v>
      </c>
      <c r="K5" t="str">
        <f>MID($A5,COLUMNS($J4:K4),1)</f>
        <v>R</v>
      </c>
      <c r="L5" t="str">
        <f>MID($A5,COLUMNS($J4:L4),1)</f>
        <v>I</v>
      </c>
      <c r="M5" t="str">
        <f>MID($A5,COLUMNS($J4:M4),1)</f>
        <v>Y</v>
      </c>
      <c r="N5" t="str">
        <f>MID($A5,COLUMNS($J4:N4),1)</f>
        <v>A</v>
      </c>
      <c r="O5" t="str">
        <f>MID($A5,COLUMNS($J4:O4),1)</f>
        <v/>
      </c>
      <c r="P5" t="str">
        <f>MID($A5,COLUMNS($J4:P4),1)</f>
        <v/>
      </c>
      <c r="Q5" t="str">
        <f>MID($A5,COLUMNS($J4:Q4),1)</f>
        <v/>
      </c>
    </row>
    <row r="6" spans="1:17" x14ac:dyDescent="0.25">
      <c r="A6" t="s">
        <v>177</v>
      </c>
      <c r="B6" t="s">
        <v>180</v>
      </c>
      <c r="C6" t="s">
        <v>185</v>
      </c>
      <c r="E6" t="str">
        <f t="shared" si="0"/>
        <v>MRS SHIVAM</v>
      </c>
      <c r="G6" t="str">
        <f>IF(B6="MALE","MR"&amp;" "&amp;A6,IF(B6="FEMALE","MRS"&amp;" "&amp;A6,IF(B6="OTHER",A6,"ERROR")))</f>
        <v>MRS SHIVAM</v>
      </c>
      <c r="J6" t="str">
        <f>MID($A6,COLUMNS($J5:J5),1)</f>
        <v>S</v>
      </c>
      <c r="K6" t="str">
        <f>MID($A6,COLUMNS($J5:K5),1)</f>
        <v>H</v>
      </c>
      <c r="L6" t="str">
        <f>MID($A6,COLUMNS($J5:L5),1)</f>
        <v>I</v>
      </c>
      <c r="M6" t="str">
        <f>MID($A6,COLUMNS($J5:M5),1)</f>
        <v>V</v>
      </c>
      <c r="N6" t="str">
        <f>MID($A6,COLUMNS($J5:N5),1)</f>
        <v>A</v>
      </c>
      <c r="O6" t="str">
        <f>MID($A6,COLUMNS($J5:O5),1)</f>
        <v>M</v>
      </c>
      <c r="P6" t="str">
        <f>MID($A6,COLUMNS($J5:P5),1)</f>
        <v/>
      </c>
      <c r="Q6" t="str">
        <f>MID($A6,COLUMNS($J5:Q5),1)</f>
        <v/>
      </c>
    </row>
    <row r="8" spans="1:17" x14ac:dyDescent="0.25">
      <c r="A8" t="s">
        <v>222</v>
      </c>
      <c r="B8" t="str">
        <f>LEFT(A8,FIND(" ",A8,1))</f>
        <v xml:space="preserve">ROHIT </v>
      </c>
      <c r="C8" t="str">
        <f>RIGHT(A8,LEN(A8)-FIND(" ",A8,1))</f>
        <v>SHARMA</v>
      </c>
    </row>
    <row r="9" spans="1:17" x14ac:dyDescent="0.25">
      <c r="A9" t="s">
        <v>223</v>
      </c>
      <c r="B9" t="str">
        <f t="shared" ref="B9:B13" si="2">LEFT(A9,FIND(" ",A9,1))</f>
        <v xml:space="preserve">MOHAN </v>
      </c>
      <c r="C9" t="str">
        <f t="shared" ref="C9:C12" si="3">RIGHT(A9,LEN(A9)-FIND(" ",A9,1))</f>
        <v>VERMA</v>
      </c>
    </row>
    <row r="10" spans="1:17" x14ac:dyDescent="0.25">
      <c r="A10" t="s">
        <v>224</v>
      </c>
      <c r="B10" t="str">
        <f t="shared" si="2"/>
        <v xml:space="preserve">RAVI </v>
      </c>
      <c r="C10" t="str">
        <f t="shared" si="3"/>
        <v>GUPTA</v>
      </c>
    </row>
    <row r="11" spans="1:17" x14ac:dyDescent="0.25">
      <c r="A11" t="s">
        <v>225</v>
      </c>
      <c r="B11" t="str">
        <f t="shared" si="2"/>
        <v xml:space="preserve">POOJA </v>
      </c>
      <c r="C11" t="str">
        <f t="shared" si="3"/>
        <v>REDDY</v>
      </c>
      <c r="G11" s="10">
        <v>44254</v>
      </c>
      <c r="H11">
        <f>MONTH(G11)</f>
        <v>2</v>
      </c>
      <c r="I11" t="str">
        <f>TEXT(G11,"MMMM")</f>
        <v>February</v>
      </c>
    </row>
    <row r="12" spans="1:17" x14ac:dyDescent="0.25">
      <c r="A12" t="s">
        <v>226</v>
      </c>
      <c r="B12" t="str">
        <f t="shared" si="2"/>
        <v xml:space="preserve">MANISH </v>
      </c>
      <c r="C12" t="str">
        <f t="shared" si="3"/>
        <v>KUMAR</v>
      </c>
      <c r="G12" s="10">
        <v>44264</v>
      </c>
      <c r="H12">
        <f t="shared" ref="H12:H20" si="4">MONTH(G12)</f>
        <v>3</v>
      </c>
      <c r="I12" t="str">
        <f>TEXT(G12,"MMMM")</f>
        <v>March</v>
      </c>
    </row>
    <row r="13" spans="1:17" x14ac:dyDescent="0.25">
      <c r="A13" t="s">
        <v>227</v>
      </c>
      <c r="B13" t="str">
        <f t="shared" si="2"/>
        <v xml:space="preserve">AMIT </v>
      </c>
      <c r="C13" t="str">
        <f>RIGHT(A13,LEN(A13)-FIND(" ",A13,1))</f>
        <v>CHAUAHAN</v>
      </c>
      <c r="G13" s="10">
        <v>43993</v>
      </c>
      <c r="H13">
        <f t="shared" si="4"/>
        <v>6</v>
      </c>
      <c r="I13" t="str">
        <f>TEXT(G13,"MMMM")</f>
        <v>June</v>
      </c>
    </row>
    <row r="14" spans="1:17" x14ac:dyDescent="0.25">
      <c r="G14" s="10">
        <v>44518</v>
      </c>
      <c r="H14">
        <f t="shared" si="4"/>
        <v>11</v>
      </c>
      <c r="I14" t="str">
        <f t="shared" ref="I14:I20" si="5">TEXT(G14,"MMMM")</f>
        <v>November</v>
      </c>
    </row>
    <row r="15" spans="1:17" x14ac:dyDescent="0.25">
      <c r="G15" s="10">
        <v>44143</v>
      </c>
      <c r="H15">
        <f t="shared" si="4"/>
        <v>11</v>
      </c>
      <c r="I15" t="str">
        <f t="shared" si="5"/>
        <v>November</v>
      </c>
    </row>
    <row r="16" spans="1:17" x14ac:dyDescent="0.25">
      <c r="G16" s="10">
        <v>44336</v>
      </c>
      <c r="H16">
        <f t="shared" si="4"/>
        <v>5</v>
      </c>
      <c r="I16" t="str">
        <f t="shared" si="5"/>
        <v>May</v>
      </c>
    </row>
    <row r="17" spans="7:9" x14ac:dyDescent="0.25">
      <c r="G17" s="10">
        <v>43930</v>
      </c>
      <c r="H17">
        <f t="shared" si="4"/>
        <v>4</v>
      </c>
      <c r="I17" t="str">
        <f t="shared" si="5"/>
        <v>April</v>
      </c>
    </row>
    <row r="18" spans="7:9" x14ac:dyDescent="0.25">
      <c r="G18" s="10">
        <v>43953</v>
      </c>
      <c r="H18">
        <f t="shared" si="4"/>
        <v>5</v>
      </c>
      <c r="I18" t="str">
        <f t="shared" si="5"/>
        <v>May</v>
      </c>
    </row>
    <row r="19" spans="7:9" x14ac:dyDescent="0.25">
      <c r="G19" s="10">
        <v>43947</v>
      </c>
      <c r="H19">
        <f t="shared" si="4"/>
        <v>4</v>
      </c>
      <c r="I19" t="str">
        <f t="shared" si="5"/>
        <v>April</v>
      </c>
    </row>
    <row r="20" spans="7:9" x14ac:dyDescent="0.25">
      <c r="G20" s="10">
        <v>44118</v>
      </c>
      <c r="H20">
        <f t="shared" si="4"/>
        <v>10</v>
      </c>
      <c r="I20" t="str">
        <f t="shared" si="5"/>
        <v>October</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9CC97-C357-4E18-8D06-8D54AB218E3B}">
  <sheetPr codeName="Sheet8"/>
  <dimension ref="A2:L20"/>
  <sheetViews>
    <sheetView zoomScale="160" zoomScaleNormal="160" workbookViewId="0">
      <selection activeCell="M28" sqref="M28"/>
    </sheetView>
  </sheetViews>
  <sheetFormatPr defaultRowHeight="15" x14ac:dyDescent="0.25"/>
  <cols>
    <col min="9" max="9" width="10.7109375" bestFit="1" customWidth="1"/>
  </cols>
  <sheetData>
    <row r="2" spans="1:12" x14ac:dyDescent="0.25">
      <c r="A2" s="1" t="s">
        <v>0</v>
      </c>
      <c r="B2" s="1" t="s">
        <v>10</v>
      </c>
      <c r="C2" s="1" t="s">
        <v>18</v>
      </c>
      <c r="D2" s="1" t="s">
        <v>19</v>
      </c>
      <c r="E2" s="1" t="s">
        <v>20</v>
      </c>
      <c r="F2" s="1" t="s">
        <v>21</v>
      </c>
      <c r="G2" s="1" t="s">
        <v>22</v>
      </c>
      <c r="I2" s="44" t="s">
        <v>371</v>
      </c>
      <c r="J2" s="44"/>
      <c r="K2" s="44"/>
    </row>
    <row r="3" spans="1:12" x14ac:dyDescent="0.25">
      <c r="A3" t="s">
        <v>1</v>
      </c>
      <c r="B3" t="s">
        <v>11</v>
      </c>
      <c r="C3">
        <v>420</v>
      </c>
      <c r="D3">
        <f>COUNTIFS(C3:C20,D4,A3:A20,D5,B3:B20,D6)</f>
        <v>1</v>
      </c>
      <c r="E3">
        <f>COUNTIF(C3:C20,"&gt;100")</f>
        <v>17</v>
      </c>
      <c r="F3">
        <f>COUNTA(A3:C20)</f>
        <v>54</v>
      </c>
      <c r="G3">
        <f>COUNT(A3:C20)</f>
        <v>18</v>
      </c>
      <c r="I3" t="s">
        <v>372</v>
      </c>
      <c r="J3" t="s">
        <v>382</v>
      </c>
    </row>
    <row r="4" spans="1:12" x14ac:dyDescent="0.25">
      <c r="A4" t="s">
        <v>2</v>
      </c>
      <c r="B4" t="s">
        <v>12</v>
      </c>
      <c r="C4">
        <v>50</v>
      </c>
      <c r="D4" t="s">
        <v>23</v>
      </c>
      <c r="H4" s="2"/>
      <c r="I4" s="2" t="s">
        <v>373</v>
      </c>
      <c r="J4" s="2" t="s">
        <v>382</v>
      </c>
    </row>
    <row r="5" spans="1:12" x14ac:dyDescent="0.25">
      <c r="A5" t="s">
        <v>3</v>
      </c>
      <c r="B5" t="s">
        <v>13</v>
      </c>
      <c r="C5">
        <v>468</v>
      </c>
      <c r="D5" t="s">
        <v>3</v>
      </c>
      <c r="H5" s="2"/>
      <c r="I5" s="2" t="s">
        <v>374</v>
      </c>
      <c r="J5" s="2" t="s">
        <v>382</v>
      </c>
    </row>
    <row r="6" spans="1:12" x14ac:dyDescent="0.25">
      <c r="A6" t="s">
        <v>4</v>
      </c>
      <c r="B6" t="s">
        <v>14</v>
      </c>
      <c r="C6">
        <v>260</v>
      </c>
      <c r="D6" t="s">
        <v>13</v>
      </c>
      <c r="I6" s="2" t="s">
        <v>375</v>
      </c>
      <c r="J6" s="2" t="s">
        <v>382</v>
      </c>
    </row>
    <row r="7" spans="1:12" x14ac:dyDescent="0.25">
      <c r="A7" t="s">
        <v>5</v>
      </c>
      <c r="B7" t="s">
        <v>15</v>
      </c>
      <c r="C7">
        <v>173</v>
      </c>
      <c r="I7" s="2" t="s">
        <v>24</v>
      </c>
      <c r="J7" s="2" t="s">
        <v>382</v>
      </c>
    </row>
    <row r="8" spans="1:12" x14ac:dyDescent="0.25">
      <c r="A8" t="s">
        <v>6</v>
      </c>
      <c r="B8" t="s">
        <v>16</v>
      </c>
      <c r="C8">
        <v>427</v>
      </c>
      <c r="I8" s="2" t="s">
        <v>25</v>
      </c>
      <c r="J8" s="2" t="s">
        <v>382</v>
      </c>
    </row>
    <row r="9" spans="1:12" x14ac:dyDescent="0.25">
      <c r="A9" t="s">
        <v>7</v>
      </c>
      <c r="B9" t="s">
        <v>17</v>
      </c>
      <c r="C9">
        <v>381</v>
      </c>
      <c r="I9" s="2" t="s">
        <v>376</v>
      </c>
      <c r="J9" s="2" t="s">
        <v>382</v>
      </c>
    </row>
    <row r="10" spans="1:12" x14ac:dyDescent="0.25">
      <c r="A10" t="s">
        <v>8</v>
      </c>
      <c r="B10" t="s">
        <v>11</v>
      </c>
      <c r="C10">
        <v>375</v>
      </c>
      <c r="I10" s="2" t="s">
        <v>377</v>
      </c>
      <c r="J10" s="2" t="s">
        <v>382</v>
      </c>
    </row>
    <row r="11" spans="1:12" x14ac:dyDescent="0.25">
      <c r="A11" t="s">
        <v>9</v>
      </c>
      <c r="B11" t="s">
        <v>12</v>
      </c>
      <c r="C11">
        <v>310</v>
      </c>
      <c r="I11" s="2" t="s">
        <v>378</v>
      </c>
    </row>
    <row r="12" spans="1:12" x14ac:dyDescent="0.25">
      <c r="A12" t="s">
        <v>1</v>
      </c>
      <c r="B12" t="s">
        <v>13</v>
      </c>
      <c r="C12">
        <v>270</v>
      </c>
      <c r="I12" s="2" t="s">
        <v>379</v>
      </c>
    </row>
    <row r="13" spans="1:12" x14ac:dyDescent="0.25">
      <c r="A13" t="s">
        <v>2</v>
      </c>
      <c r="B13" t="s">
        <v>14</v>
      </c>
      <c r="C13">
        <v>292</v>
      </c>
      <c r="I13" s="2" t="s">
        <v>380</v>
      </c>
      <c r="K13" t="s">
        <v>590</v>
      </c>
      <c r="L13" t="s">
        <v>591</v>
      </c>
    </row>
    <row r="14" spans="1:12" x14ac:dyDescent="0.25">
      <c r="A14" t="s">
        <v>3</v>
      </c>
      <c r="B14" t="s">
        <v>15</v>
      </c>
      <c r="C14">
        <v>287</v>
      </c>
      <c r="I14" s="2" t="s">
        <v>381</v>
      </c>
      <c r="K14" t="s">
        <v>391</v>
      </c>
    </row>
    <row r="15" spans="1:12" x14ac:dyDescent="0.25">
      <c r="A15" t="s">
        <v>4</v>
      </c>
      <c r="B15" t="s">
        <v>16</v>
      </c>
      <c r="C15">
        <v>344</v>
      </c>
      <c r="K15" t="s">
        <v>589</v>
      </c>
    </row>
    <row r="16" spans="1:12" x14ac:dyDescent="0.25">
      <c r="A16" t="s">
        <v>5</v>
      </c>
      <c r="B16" t="s">
        <v>17</v>
      </c>
      <c r="C16">
        <v>119</v>
      </c>
    </row>
    <row r="17" spans="1:3" x14ac:dyDescent="0.25">
      <c r="A17" t="s">
        <v>6</v>
      </c>
      <c r="B17" t="s">
        <v>11</v>
      </c>
      <c r="C17">
        <v>219</v>
      </c>
    </row>
    <row r="18" spans="1:3" x14ac:dyDescent="0.25">
      <c r="A18" t="s">
        <v>7</v>
      </c>
      <c r="B18" t="s">
        <v>12</v>
      </c>
      <c r="C18">
        <v>270</v>
      </c>
    </row>
    <row r="19" spans="1:3" x14ac:dyDescent="0.25">
      <c r="A19" t="s">
        <v>8</v>
      </c>
      <c r="B19" t="s">
        <v>13</v>
      </c>
      <c r="C19">
        <v>298</v>
      </c>
    </row>
    <row r="20" spans="1:3" x14ac:dyDescent="0.25">
      <c r="A20" t="s">
        <v>9</v>
      </c>
      <c r="B20" t="s">
        <v>14</v>
      </c>
      <c r="C20">
        <v>335</v>
      </c>
    </row>
  </sheetData>
  <mergeCells count="1">
    <mergeCell ref="I2:K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395F9-9214-4BD1-950F-4C5853603FFE}">
  <sheetPr codeName="Sheet9"/>
  <dimension ref="A1:L19"/>
  <sheetViews>
    <sheetView workbookViewId="0">
      <selection activeCell="M28" sqref="M28"/>
    </sheetView>
  </sheetViews>
  <sheetFormatPr defaultRowHeight="15" x14ac:dyDescent="0.25"/>
  <sheetData>
    <row r="1" spans="1:12" x14ac:dyDescent="0.25">
      <c r="A1" s="2" t="s">
        <v>0</v>
      </c>
      <c r="B1" s="2" t="s">
        <v>10</v>
      </c>
      <c r="C1" s="2" t="s">
        <v>18</v>
      </c>
      <c r="F1" t="s">
        <v>24</v>
      </c>
    </row>
    <row r="2" spans="1:12" x14ac:dyDescent="0.25">
      <c r="A2" t="s">
        <v>1</v>
      </c>
      <c r="B2" t="s">
        <v>11</v>
      </c>
      <c r="C2">
        <v>420</v>
      </c>
      <c r="F2" t="s">
        <v>25</v>
      </c>
    </row>
    <row r="3" spans="1:12" x14ac:dyDescent="0.25">
      <c r="A3" t="s">
        <v>2</v>
      </c>
      <c r="B3" t="s">
        <v>12</v>
      </c>
      <c r="C3">
        <v>50</v>
      </c>
    </row>
    <row r="4" spans="1:12" x14ac:dyDescent="0.25">
      <c r="A4" t="s">
        <v>3</v>
      </c>
      <c r="B4" t="s">
        <v>13</v>
      </c>
      <c r="C4">
        <v>468</v>
      </c>
      <c r="F4" s="2" t="s">
        <v>0</v>
      </c>
      <c r="G4" s="2" t="s">
        <v>10</v>
      </c>
      <c r="H4" s="2" t="s">
        <v>18</v>
      </c>
    </row>
    <row r="5" spans="1:12" x14ac:dyDescent="0.25">
      <c r="A5" t="s">
        <v>4</v>
      </c>
      <c r="B5" t="s">
        <v>14</v>
      </c>
      <c r="C5">
        <v>260</v>
      </c>
      <c r="F5" s="2" t="s">
        <v>1</v>
      </c>
      <c r="G5" t="s">
        <v>11</v>
      </c>
      <c r="H5" t="s">
        <v>26</v>
      </c>
    </row>
    <row r="6" spans="1:12" x14ac:dyDescent="0.25">
      <c r="A6" t="s">
        <v>5</v>
      </c>
      <c r="B6" t="s">
        <v>15</v>
      </c>
      <c r="C6">
        <v>173</v>
      </c>
      <c r="H6">
        <f>DCOUNT(A1:C19,C1,F4:H5)</f>
        <v>1</v>
      </c>
    </row>
    <row r="7" spans="1:12" x14ac:dyDescent="0.25">
      <c r="A7" t="s">
        <v>6</v>
      </c>
      <c r="B7" t="s">
        <v>16</v>
      </c>
      <c r="C7">
        <v>427</v>
      </c>
      <c r="F7" s="2" t="s">
        <v>0</v>
      </c>
      <c r="G7" s="2" t="s">
        <v>10</v>
      </c>
      <c r="H7" s="2" t="s">
        <v>18</v>
      </c>
    </row>
    <row r="8" spans="1:12" x14ac:dyDescent="0.25">
      <c r="A8" t="s">
        <v>7</v>
      </c>
      <c r="B8" t="s">
        <v>17</v>
      </c>
      <c r="C8">
        <v>381</v>
      </c>
      <c r="F8" s="2" t="s">
        <v>8</v>
      </c>
      <c r="G8" s="2" t="s">
        <v>11</v>
      </c>
      <c r="H8" s="2" t="s">
        <v>27</v>
      </c>
    </row>
    <row r="9" spans="1:12" x14ac:dyDescent="0.25">
      <c r="A9" t="s">
        <v>8</v>
      </c>
      <c r="B9" t="s">
        <v>11</v>
      </c>
      <c r="C9">
        <v>375</v>
      </c>
      <c r="H9">
        <f>DCOUNTA(A1:C19,C1,F7:H8)</f>
        <v>1</v>
      </c>
    </row>
    <row r="10" spans="1:12" x14ac:dyDescent="0.25">
      <c r="A10" t="s">
        <v>9</v>
      </c>
      <c r="B10" t="s">
        <v>12</v>
      </c>
      <c r="C10">
        <v>310</v>
      </c>
      <c r="F10" s="2" t="s">
        <v>0</v>
      </c>
      <c r="G10" s="2" t="s">
        <v>10</v>
      </c>
      <c r="H10" s="2" t="s">
        <v>18</v>
      </c>
      <c r="J10" s="2" t="s">
        <v>0</v>
      </c>
      <c r="K10" s="2" t="s">
        <v>10</v>
      </c>
      <c r="L10" s="2" t="s">
        <v>18</v>
      </c>
    </row>
    <row r="11" spans="1:12" x14ac:dyDescent="0.25">
      <c r="A11" t="s">
        <v>1</v>
      </c>
      <c r="B11" t="s">
        <v>13</v>
      </c>
      <c r="C11">
        <v>270</v>
      </c>
      <c r="F11" s="2" t="s">
        <v>2</v>
      </c>
      <c r="G11" s="2" t="s">
        <v>12</v>
      </c>
      <c r="H11" s="2" t="s">
        <v>23</v>
      </c>
      <c r="J11" t="s">
        <v>2</v>
      </c>
    </row>
    <row r="12" spans="1:12" x14ac:dyDescent="0.25">
      <c r="A12" t="s">
        <v>2</v>
      </c>
      <c r="B12" t="s">
        <v>14</v>
      </c>
      <c r="C12">
        <v>292</v>
      </c>
      <c r="H12">
        <f>DCOUNTA(A1:C19,C1,F10:H11)</f>
        <v>0</v>
      </c>
      <c r="L12">
        <f>DCOUNTA(A1:C19,A1,J10:L11)</f>
        <v>2</v>
      </c>
    </row>
    <row r="13" spans="1:12" x14ac:dyDescent="0.25">
      <c r="A13" t="s">
        <v>3</v>
      </c>
      <c r="B13" t="s">
        <v>15</v>
      </c>
      <c r="C13">
        <v>287</v>
      </c>
      <c r="F13" s="2" t="s">
        <v>0</v>
      </c>
      <c r="G13" s="2" t="s">
        <v>10</v>
      </c>
      <c r="H13" s="2" t="s">
        <v>18</v>
      </c>
      <c r="J13" s="2" t="s">
        <v>0</v>
      </c>
      <c r="K13" s="2" t="s">
        <v>10</v>
      </c>
      <c r="L13" s="2" t="s">
        <v>18</v>
      </c>
    </row>
    <row r="14" spans="1:12" x14ac:dyDescent="0.25">
      <c r="A14" t="s">
        <v>4</v>
      </c>
      <c r="B14" t="s">
        <v>16</v>
      </c>
      <c r="C14">
        <v>344</v>
      </c>
      <c r="F14" s="2" t="s">
        <v>4</v>
      </c>
      <c r="G14" s="2" t="s">
        <v>16</v>
      </c>
      <c r="H14" s="2" t="s">
        <v>28</v>
      </c>
      <c r="J14" t="s">
        <v>9</v>
      </c>
      <c r="K14" t="s">
        <v>11</v>
      </c>
      <c r="L14" t="s">
        <v>26</v>
      </c>
    </row>
    <row r="15" spans="1:12" x14ac:dyDescent="0.25">
      <c r="A15" t="s">
        <v>5</v>
      </c>
      <c r="B15" t="s">
        <v>17</v>
      </c>
      <c r="C15">
        <v>119</v>
      </c>
      <c r="H15">
        <f>DCOUNT(A1:C19,C1,F13:H14)</f>
        <v>1</v>
      </c>
      <c r="L15">
        <f>DCOUNT(A1:C19,C1,J13:L14)</f>
        <v>0</v>
      </c>
    </row>
    <row r="16" spans="1:12" x14ac:dyDescent="0.25">
      <c r="A16" t="s">
        <v>6</v>
      </c>
      <c r="B16" t="s">
        <v>11</v>
      </c>
      <c r="C16">
        <v>219</v>
      </c>
      <c r="F16" s="2" t="s">
        <v>0</v>
      </c>
      <c r="G16" s="2" t="s">
        <v>10</v>
      </c>
      <c r="H16" s="2" t="s">
        <v>18</v>
      </c>
      <c r="J16" s="2" t="s">
        <v>0</v>
      </c>
      <c r="K16" s="2" t="s">
        <v>10</v>
      </c>
      <c r="L16" s="2" t="s">
        <v>18</v>
      </c>
    </row>
    <row r="17" spans="1:12" x14ac:dyDescent="0.25">
      <c r="A17" t="s">
        <v>7</v>
      </c>
      <c r="B17" t="s">
        <v>12</v>
      </c>
      <c r="C17">
        <v>270</v>
      </c>
      <c r="F17" s="2" t="s">
        <v>5</v>
      </c>
      <c r="G17" s="2" t="s">
        <v>17</v>
      </c>
      <c r="H17" s="2" t="s">
        <v>26</v>
      </c>
      <c r="J17" t="s">
        <v>6</v>
      </c>
      <c r="K17" t="s">
        <v>16</v>
      </c>
      <c r="L17" t="s">
        <v>29</v>
      </c>
    </row>
    <row r="18" spans="1:12" x14ac:dyDescent="0.25">
      <c r="A18" t="s">
        <v>8</v>
      </c>
      <c r="B18" t="s">
        <v>13</v>
      </c>
      <c r="C18">
        <v>298</v>
      </c>
      <c r="H18">
        <f>DCOUNT(A1:C19,C1,F16:H17)</f>
        <v>0</v>
      </c>
      <c r="L18">
        <f>DCOUNTA(A1:C19,B1,J16:L17)</f>
        <v>1</v>
      </c>
    </row>
    <row r="19" spans="1:12" x14ac:dyDescent="0.25">
      <c r="A19" t="s">
        <v>9</v>
      </c>
      <c r="B19" t="s">
        <v>14</v>
      </c>
      <c r="C19">
        <v>335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B54BC-04AE-4DAA-83B0-337CB6B0FF5F}">
  <sheetPr codeName="Sheet10"/>
  <dimension ref="A1:S24"/>
  <sheetViews>
    <sheetView workbookViewId="0">
      <selection activeCell="M28" sqref="M28"/>
    </sheetView>
  </sheetViews>
  <sheetFormatPr defaultRowHeight="15" x14ac:dyDescent="0.25"/>
  <cols>
    <col min="5" max="5" width="12" bestFit="1" customWidth="1"/>
  </cols>
  <sheetData>
    <row r="1" spans="1:16" x14ac:dyDescent="0.25">
      <c r="A1" t="s">
        <v>0</v>
      </c>
      <c r="B1" t="s">
        <v>10</v>
      </c>
      <c r="C1" t="s">
        <v>18</v>
      </c>
      <c r="D1" t="s">
        <v>173</v>
      </c>
      <c r="E1" t="s">
        <v>360</v>
      </c>
    </row>
    <row r="2" spans="1:16" x14ac:dyDescent="0.25">
      <c r="A2" t="s">
        <v>112</v>
      </c>
      <c r="B2" t="s">
        <v>11</v>
      </c>
      <c r="C2">
        <v>420</v>
      </c>
      <c r="D2" t="s">
        <v>361</v>
      </c>
      <c r="E2">
        <v>670</v>
      </c>
    </row>
    <row r="3" spans="1:16" x14ac:dyDescent="0.25">
      <c r="A3" t="s">
        <v>2</v>
      </c>
      <c r="B3" t="s">
        <v>12</v>
      </c>
      <c r="C3">
        <v>50</v>
      </c>
      <c r="D3">
        <v>507</v>
      </c>
      <c r="E3">
        <v>814</v>
      </c>
    </row>
    <row r="4" spans="1:16" x14ac:dyDescent="0.25">
      <c r="A4" t="s">
        <v>3</v>
      </c>
      <c r="B4" t="s">
        <v>13</v>
      </c>
      <c r="C4">
        <v>468</v>
      </c>
      <c r="D4">
        <v>665</v>
      </c>
      <c r="E4">
        <v>171</v>
      </c>
    </row>
    <row r="5" spans="1:16" x14ac:dyDescent="0.25">
      <c r="A5" t="s">
        <v>4</v>
      </c>
      <c r="B5" t="s">
        <v>14</v>
      </c>
      <c r="C5">
        <v>260</v>
      </c>
      <c r="D5">
        <v>279</v>
      </c>
      <c r="E5">
        <v>979</v>
      </c>
    </row>
    <row r="6" spans="1:16" x14ac:dyDescent="0.25">
      <c r="A6" t="s">
        <v>1</v>
      </c>
      <c r="B6" t="s">
        <v>11</v>
      </c>
      <c r="C6">
        <v>420</v>
      </c>
      <c r="D6">
        <v>531</v>
      </c>
      <c r="E6">
        <v>670</v>
      </c>
      <c r="N6" t="s">
        <v>0</v>
      </c>
      <c r="O6" t="s">
        <v>366</v>
      </c>
      <c r="P6" t="s">
        <v>367</v>
      </c>
    </row>
    <row r="7" spans="1:16" x14ac:dyDescent="0.25">
      <c r="A7" t="s">
        <v>6</v>
      </c>
      <c r="B7" t="s">
        <v>16</v>
      </c>
      <c r="C7">
        <v>427</v>
      </c>
      <c r="D7">
        <v>849</v>
      </c>
      <c r="E7">
        <v>377</v>
      </c>
      <c r="N7" t="s">
        <v>362</v>
      </c>
      <c r="O7">
        <v>25</v>
      </c>
      <c r="P7" t="s">
        <v>368</v>
      </c>
    </row>
    <row r="8" spans="1:16" x14ac:dyDescent="0.25">
      <c r="A8" t="s">
        <v>7</v>
      </c>
      <c r="B8" t="s">
        <v>17</v>
      </c>
      <c r="C8">
        <v>381</v>
      </c>
      <c r="D8">
        <v>442</v>
      </c>
      <c r="E8">
        <v>675</v>
      </c>
      <c r="N8" t="s">
        <v>363</v>
      </c>
      <c r="O8">
        <v>30</v>
      </c>
      <c r="P8" t="s">
        <v>369</v>
      </c>
    </row>
    <row r="9" spans="1:16" x14ac:dyDescent="0.25">
      <c r="A9" t="s">
        <v>8</v>
      </c>
      <c r="B9" t="s">
        <v>11</v>
      </c>
      <c r="C9">
        <v>375</v>
      </c>
      <c r="D9">
        <v>766</v>
      </c>
      <c r="E9">
        <v>762</v>
      </c>
      <c r="G9">
        <f>DCOUNT(A1:E19,D1,G10:K11)</f>
        <v>3</v>
      </c>
      <c r="N9" t="s">
        <v>364</v>
      </c>
      <c r="O9">
        <v>28</v>
      </c>
      <c r="P9" t="s">
        <v>368</v>
      </c>
    </row>
    <row r="10" spans="1:16" x14ac:dyDescent="0.25">
      <c r="A10" t="s">
        <v>9</v>
      </c>
      <c r="B10" t="s">
        <v>12</v>
      </c>
      <c r="C10">
        <v>310</v>
      </c>
      <c r="D10">
        <v>411</v>
      </c>
      <c r="E10">
        <v>536</v>
      </c>
      <c r="G10" t="s">
        <v>0</v>
      </c>
      <c r="H10" t="s">
        <v>10</v>
      </c>
      <c r="I10" t="s">
        <v>18</v>
      </c>
      <c r="J10" t="s">
        <v>173</v>
      </c>
      <c r="K10" t="s">
        <v>360</v>
      </c>
      <c r="N10" t="s">
        <v>365</v>
      </c>
      <c r="O10">
        <v>22</v>
      </c>
      <c r="P10" t="s">
        <v>370</v>
      </c>
    </row>
    <row r="11" spans="1:16" x14ac:dyDescent="0.25">
      <c r="A11" t="s">
        <v>1</v>
      </c>
      <c r="B11" t="s">
        <v>13</v>
      </c>
      <c r="C11">
        <v>270</v>
      </c>
      <c r="D11">
        <v>563</v>
      </c>
      <c r="E11">
        <v>734</v>
      </c>
      <c r="G11" t="s">
        <v>1</v>
      </c>
    </row>
    <row r="12" spans="1:16" x14ac:dyDescent="0.25">
      <c r="A12" t="s">
        <v>1</v>
      </c>
      <c r="B12" t="s">
        <v>11</v>
      </c>
      <c r="C12">
        <v>420</v>
      </c>
      <c r="D12">
        <v>531</v>
      </c>
      <c r="E12">
        <v>670</v>
      </c>
    </row>
    <row r="13" spans="1:16" x14ac:dyDescent="0.25">
      <c r="A13" t="s">
        <v>3</v>
      </c>
      <c r="B13" t="s">
        <v>15</v>
      </c>
      <c r="C13">
        <v>287</v>
      </c>
      <c r="D13">
        <v>422</v>
      </c>
      <c r="E13">
        <v>443</v>
      </c>
      <c r="O13">
        <f>DCOUNT(N6:P10,P6,O14:O15)</f>
        <v>0</v>
      </c>
    </row>
    <row r="14" spans="1:16" x14ac:dyDescent="0.25">
      <c r="A14" t="s">
        <v>4</v>
      </c>
      <c r="B14" t="s">
        <v>16</v>
      </c>
      <c r="C14">
        <v>344</v>
      </c>
      <c r="D14">
        <v>718</v>
      </c>
      <c r="E14">
        <v>238</v>
      </c>
      <c r="O14" t="s">
        <v>367</v>
      </c>
    </row>
    <row r="15" spans="1:16" x14ac:dyDescent="0.25">
      <c r="A15" t="s">
        <v>5</v>
      </c>
      <c r="B15" t="s">
        <v>17</v>
      </c>
      <c r="C15">
        <v>119</v>
      </c>
      <c r="D15">
        <v>574</v>
      </c>
      <c r="E15">
        <v>164</v>
      </c>
      <c r="O15" t="s">
        <v>368</v>
      </c>
    </row>
    <row r="16" spans="1:16" x14ac:dyDescent="0.25">
      <c r="A16" t="s">
        <v>6</v>
      </c>
      <c r="B16" t="s">
        <v>11</v>
      </c>
      <c r="C16">
        <v>219</v>
      </c>
      <c r="D16">
        <v>639</v>
      </c>
      <c r="E16">
        <v>365</v>
      </c>
      <c r="G16">
        <f>DCOUNTA(A1:E19,E1,G17:K18)</f>
        <v>3</v>
      </c>
    </row>
    <row r="17" spans="1:19" x14ac:dyDescent="0.25">
      <c r="A17" t="s">
        <v>7</v>
      </c>
      <c r="B17" t="s">
        <v>12</v>
      </c>
      <c r="C17">
        <v>270</v>
      </c>
      <c r="D17">
        <v>491</v>
      </c>
      <c r="E17">
        <v>941</v>
      </c>
      <c r="G17" t="s">
        <v>0</v>
      </c>
      <c r="H17" t="s">
        <v>10</v>
      </c>
      <c r="I17" t="s">
        <v>18</v>
      </c>
      <c r="J17" t="s">
        <v>173</v>
      </c>
      <c r="K17" t="s">
        <v>360</v>
      </c>
      <c r="N17" t="s">
        <v>0</v>
      </c>
    </row>
    <row r="18" spans="1:19" x14ac:dyDescent="0.25">
      <c r="A18" t="s">
        <v>8</v>
      </c>
      <c r="B18" t="s">
        <v>13</v>
      </c>
      <c r="C18">
        <v>298</v>
      </c>
      <c r="D18">
        <v>786</v>
      </c>
      <c r="E18">
        <v>995</v>
      </c>
      <c r="G18" t="s">
        <v>1</v>
      </c>
      <c r="N18" t="s">
        <v>112</v>
      </c>
      <c r="S18">
        <f>DGET(A1:E19,E1,P21:P22)</f>
        <v>670</v>
      </c>
    </row>
    <row r="19" spans="1:19" x14ac:dyDescent="0.25">
      <c r="A19" t="s">
        <v>9</v>
      </c>
      <c r="B19" t="s">
        <v>14</v>
      </c>
      <c r="C19">
        <v>335</v>
      </c>
      <c r="D19">
        <v>676</v>
      </c>
      <c r="E19">
        <v>556</v>
      </c>
      <c r="N19">
        <f>DPRODUCT(A1:E4,E1,N17:N18)</f>
        <v>670</v>
      </c>
    </row>
    <row r="21" spans="1:19" x14ac:dyDescent="0.25">
      <c r="P21" t="s">
        <v>0</v>
      </c>
      <c r="Q21">
        <f>DGET(A1:E19,E1,P21:P22)</f>
        <v>670</v>
      </c>
    </row>
    <row r="22" spans="1:19" x14ac:dyDescent="0.25">
      <c r="J22" t="e">
        <f>DGET(A1:E19,E1,L23:M24)</f>
        <v>#NUM!</v>
      </c>
      <c r="P22" t="s">
        <v>112</v>
      </c>
    </row>
    <row r="23" spans="1:19" x14ac:dyDescent="0.25">
      <c r="I23" t="s">
        <v>0</v>
      </c>
      <c r="J23" t="s">
        <v>10</v>
      </c>
      <c r="K23" t="s">
        <v>18</v>
      </c>
      <c r="L23" t="s">
        <v>173</v>
      </c>
      <c r="M23" t="s">
        <v>360</v>
      </c>
    </row>
    <row r="24" spans="1:19" x14ac:dyDescent="0.25">
      <c r="I24" t="s">
        <v>112</v>
      </c>
      <c r="J24" t="str">
        <f>DGET($A$1:$E$19,B1,I$23:I$24)</f>
        <v>HP</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1C1E6-A871-4159-8A33-B2389B5815FB}">
  <sheetPr codeName="Sheet11"/>
  <dimension ref="A1:K27"/>
  <sheetViews>
    <sheetView zoomScaleNormal="100" workbookViewId="0">
      <selection activeCell="M28" sqref="M28"/>
    </sheetView>
  </sheetViews>
  <sheetFormatPr defaultRowHeight="15" x14ac:dyDescent="0.25"/>
  <cols>
    <col min="4" max="4" width="14.42578125" bestFit="1" customWidth="1"/>
    <col min="5" max="5" width="10.28515625" bestFit="1" customWidth="1"/>
    <col min="6" max="6" width="24.85546875" bestFit="1" customWidth="1"/>
    <col min="7" max="7" width="20.7109375" bestFit="1" customWidth="1"/>
    <col min="8" max="8" width="11.140625" bestFit="1" customWidth="1"/>
    <col min="9" max="9" width="24.85546875" bestFit="1" customWidth="1"/>
    <col min="11" max="11" width="16" bestFit="1" customWidth="1"/>
  </cols>
  <sheetData>
    <row r="1" spans="1:11" x14ac:dyDescent="0.25">
      <c r="H1" t="s">
        <v>30</v>
      </c>
      <c r="I1" t="s">
        <v>39</v>
      </c>
    </row>
    <row r="2" spans="1:11" x14ac:dyDescent="0.25">
      <c r="H2" t="s">
        <v>31</v>
      </c>
      <c r="I2" t="s">
        <v>40</v>
      </c>
    </row>
    <row r="3" spans="1:11" x14ac:dyDescent="0.25">
      <c r="H3" t="s">
        <v>32</v>
      </c>
      <c r="I3" t="s">
        <v>41</v>
      </c>
    </row>
    <row r="4" spans="1:11" x14ac:dyDescent="0.25">
      <c r="H4" t="s">
        <v>33</v>
      </c>
      <c r="I4" t="s">
        <v>42</v>
      </c>
    </row>
    <row r="5" spans="1:11" x14ac:dyDescent="0.25">
      <c r="H5" t="s">
        <v>34</v>
      </c>
      <c r="I5" t="s">
        <v>43</v>
      </c>
    </row>
    <row r="6" spans="1:11" x14ac:dyDescent="0.25">
      <c r="H6" t="s">
        <v>35</v>
      </c>
      <c r="I6" t="s">
        <v>44</v>
      </c>
    </row>
    <row r="7" spans="1:11" x14ac:dyDescent="0.25">
      <c r="H7" t="s">
        <v>36</v>
      </c>
      <c r="I7" t="s">
        <v>45</v>
      </c>
    </row>
    <row r="8" spans="1:11" x14ac:dyDescent="0.25">
      <c r="H8" t="s">
        <v>37</v>
      </c>
      <c r="I8" t="s">
        <v>38</v>
      </c>
    </row>
    <row r="9" spans="1:11" x14ac:dyDescent="0.25">
      <c r="A9" t="s">
        <v>0</v>
      </c>
      <c r="B9" t="s">
        <v>10</v>
      </c>
      <c r="C9" t="s">
        <v>18</v>
      </c>
      <c r="D9" t="s">
        <v>39</v>
      </c>
      <c r="E9" t="s">
        <v>40</v>
      </c>
      <c r="F9" t="s">
        <v>41</v>
      </c>
      <c r="G9" t="s">
        <v>42</v>
      </c>
      <c r="H9" t="s">
        <v>43</v>
      </c>
      <c r="I9" t="s">
        <v>44</v>
      </c>
      <c r="J9" t="s">
        <v>45</v>
      </c>
      <c r="K9" t="s">
        <v>38</v>
      </c>
    </row>
    <row r="10" spans="1:11" x14ac:dyDescent="0.25">
      <c r="A10" t="s">
        <v>46</v>
      </c>
      <c r="B10" t="s">
        <v>11</v>
      </c>
      <c r="C10">
        <v>694</v>
      </c>
      <c r="D10">
        <f>SUMIF(C10:C27,"&gt;500")</f>
        <v>7520</v>
      </c>
      <c r="E10">
        <f>SUMIF(C10:C27,"&lt;500")</f>
        <v>1947</v>
      </c>
      <c r="F10">
        <f>SUMIF(C10:C27,"&gt;=500")</f>
        <v>7520</v>
      </c>
      <c r="G10">
        <f>SUMIF(C10:C27,"&lt;=500")</f>
        <v>1947</v>
      </c>
      <c r="H10">
        <f>SUMIF(C10:C27,"&lt;&gt;500")</f>
        <v>9467</v>
      </c>
      <c r="I10">
        <f>SUMIF(A10:A27,"*Y",C10:C27)</f>
        <v>1666</v>
      </c>
      <c r="J10">
        <f>SUMIF(A10:A27,"*"&amp;J11,C10:C27)</f>
        <v>1823</v>
      </c>
      <c r="K10">
        <f>SUMIF(A10:A27,"?????",C10:C27)</f>
        <v>4265</v>
      </c>
    </row>
    <row r="11" spans="1:11" x14ac:dyDescent="0.25">
      <c r="A11" t="s">
        <v>47</v>
      </c>
      <c r="B11" t="s">
        <v>12</v>
      </c>
      <c r="C11">
        <v>609</v>
      </c>
      <c r="J11" t="s">
        <v>53</v>
      </c>
    </row>
    <row r="12" spans="1:11" x14ac:dyDescent="0.25">
      <c r="A12" t="s">
        <v>48</v>
      </c>
      <c r="B12" t="s">
        <v>13</v>
      </c>
      <c r="C12">
        <v>279</v>
      </c>
    </row>
    <row r="13" spans="1:11" x14ac:dyDescent="0.25">
      <c r="A13" t="s">
        <v>49</v>
      </c>
      <c r="B13" t="s">
        <v>14</v>
      </c>
      <c r="C13">
        <v>227</v>
      </c>
    </row>
    <row r="14" spans="1:11" x14ac:dyDescent="0.25">
      <c r="A14" t="s">
        <v>50</v>
      </c>
      <c r="B14" t="s">
        <v>52</v>
      </c>
      <c r="C14">
        <v>709</v>
      </c>
      <c r="D14">
        <f>SUMIF(C10:C27,D15)</f>
        <v>9467</v>
      </c>
      <c r="E14">
        <f>SUMIFS(C10:C27,B10:B27,E15,A10:A27,E16,C10:C27,E17)</f>
        <v>694</v>
      </c>
      <c r="F14">
        <f>DSUM(A9:C27,C9,F15:H16)</f>
        <v>0</v>
      </c>
    </row>
    <row r="15" spans="1:11" x14ac:dyDescent="0.25">
      <c r="A15" t="s">
        <v>51</v>
      </c>
      <c r="B15" t="s">
        <v>11</v>
      </c>
      <c r="C15">
        <v>362</v>
      </c>
      <c r="D15" t="s">
        <v>27</v>
      </c>
      <c r="E15" t="s">
        <v>11</v>
      </c>
    </row>
    <row r="16" spans="1:11" x14ac:dyDescent="0.25">
      <c r="A16" t="s">
        <v>46</v>
      </c>
      <c r="B16" t="s">
        <v>12</v>
      </c>
      <c r="C16">
        <v>219</v>
      </c>
      <c r="E16" t="s">
        <v>46</v>
      </c>
      <c r="F16" t="s">
        <v>46</v>
      </c>
      <c r="G16" t="s">
        <v>11</v>
      </c>
      <c r="H16" t="s">
        <v>54</v>
      </c>
      <c r="I16">
        <f>DAVERAGE(A9:C27,C9,I17:K18)</f>
        <v>227</v>
      </c>
    </row>
    <row r="17" spans="1:11" x14ac:dyDescent="0.25">
      <c r="A17" t="s">
        <v>47</v>
      </c>
      <c r="B17" t="s">
        <v>13</v>
      </c>
      <c r="C17">
        <v>952</v>
      </c>
      <c r="E17" t="s">
        <v>27</v>
      </c>
      <c r="I17" t="s">
        <v>0</v>
      </c>
      <c r="J17" t="s">
        <v>10</v>
      </c>
      <c r="K17" t="s">
        <v>18</v>
      </c>
    </row>
    <row r="18" spans="1:11" x14ac:dyDescent="0.25">
      <c r="A18" t="s">
        <v>48</v>
      </c>
      <c r="B18" t="s">
        <v>14</v>
      </c>
      <c r="C18">
        <v>334</v>
      </c>
      <c r="D18">
        <f>AVERAGEIF(C10:C27,D19)</f>
        <v>525.94444444444446</v>
      </c>
      <c r="E18">
        <f>AVERAGEIFS(C10:C27,A10:A27,E19,B10:B27,E20)</f>
        <v>694</v>
      </c>
      <c r="F18">
        <f>DAVERAGE(A9:C27,C9,F19:H20)</f>
        <v>694</v>
      </c>
      <c r="I18" t="s">
        <v>49</v>
      </c>
      <c r="J18" t="s">
        <v>14</v>
      </c>
      <c r="K18" t="s">
        <v>58</v>
      </c>
    </row>
    <row r="19" spans="1:11" x14ac:dyDescent="0.25">
      <c r="A19" t="s">
        <v>49</v>
      </c>
      <c r="B19" t="s">
        <v>52</v>
      </c>
      <c r="C19">
        <v>828</v>
      </c>
      <c r="D19" t="s">
        <v>27</v>
      </c>
      <c r="E19" t="s">
        <v>46</v>
      </c>
      <c r="F19" t="s">
        <v>0</v>
      </c>
      <c r="G19" t="s">
        <v>10</v>
      </c>
      <c r="H19" t="s">
        <v>18</v>
      </c>
    </row>
    <row r="20" spans="1:11" x14ac:dyDescent="0.25">
      <c r="A20" t="s">
        <v>50</v>
      </c>
      <c r="B20" t="s">
        <v>11</v>
      </c>
      <c r="C20">
        <v>147</v>
      </c>
      <c r="E20" t="s">
        <v>11</v>
      </c>
      <c r="F20" t="s">
        <v>46</v>
      </c>
      <c r="G20" t="s">
        <v>11</v>
      </c>
      <c r="H20" t="s">
        <v>55</v>
      </c>
      <c r="I20">
        <f>DSUM(A9:C27,C9,I21:K22)</f>
        <v>709</v>
      </c>
    </row>
    <row r="21" spans="1:11" x14ac:dyDescent="0.25">
      <c r="A21" t="s">
        <v>51</v>
      </c>
      <c r="B21" t="s">
        <v>12</v>
      </c>
      <c r="C21">
        <v>110</v>
      </c>
      <c r="F21">
        <f>DAVERAGE(A9:C27,C9,F22:H23)</f>
        <v>609</v>
      </c>
      <c r="I21" t="s">
        <v>0</v>
      </c>
      <c r="J21" t="s">
        <v>10</v>
      </c>
      <c r="K21" t="s">
        <v>18</v>
      </c>
    </row>
    <row r="22" spans="1:11" x14ac:dyDescent="0.25">
      <c r="A22" t="s">
        <v>46</v>
      </c>
      <c r="B22" t="s">
        <v>13</v>
      </c>
      <c r="C22">
        <v>615</v>
      </c>
      <c r="F22" t="s">
        <v>0</v>
      </c>
      <c r="G22" t="s">
        <v>10</v>
      </c>
      <c r="H22" t="s">
        <v>18</v>
      </c>
      <c r="I22" t="s">
        <v>50</v>
      </c>
      <c r="J22" t="s">
        <v>52</v>
      </c>
      <c r="K22" t="s">
        <v>59</v>
      </c>
    </row>
    <row r="23" spans="1:11" x14ac:dyDescent="0.25">
      <c r="A23" t="s">
        <v>47</v>
      </c>
      <c r="B23" t="s">
        <v>14</v>
      </c>
      <c r="C23">
        <v>269</v>
      </c>
      <c r="F23" t="s">
        <v>47</v>
      </c>
      <c r="G23" t="s">
        <v>12</v>
      </c>
      <c r="H23" t="s">
        <v>56</v>
      </c>
    </row>
    <row r="24" spans="1:11" x14ac:dyDescent="0.25">
      <c r="A24" t="s">
        <v>48</v>
      </c>
      <c r="B24" t="s">
        <v>52</v>
      </c>
      <c r="C24">
        <v>936</v>
      </c>
      <c r="I24">
        <f>DAVERAGE(A9:C27,C9,I25:K26)</f>
        <v>525.94444444444446</v>
      </c>
    </row>
    <row r="25" spans="1:11" x14ac:dyDescent="0.25">
      <c r="A25" t="s">
        <v>49</v>
      </c>
      <c r="B25" t="s">
        <v>11</v>
      </c>
      <c r="C25">
        <v>768</v>
      </c>
      <c r="F25">
        <f>DSUM(A9:C27,C9,F26:H27)</f>
        <v>0</v>
      </c>
    </row>
    <row r="26" spans="1:11" x14ac:dyDescent="0.25">
      <c r="A26" t="s">
        <v>50</v>
      </c>
      <c r="B26" t="s">
        <v>12</v>
      </c>
      <c r="C26">
        <v>810</v>
      </c>
      <c r="F26" t="s">
        <v>0</v>
      </c>
      <c r="G26" t="s">
        <v>10</v>
      </c>
      <c r="H26" t="s">
        <v>18</v>
      </c>
    </row>
    <row r="27" spans="1:11" x14ac:dyDescent="0.25">
      <c r="A27" t="s">
        <v>51</v>
      </c>
      <c r="B27" t="s">
        <v>13</v>
      </c>
      <c r="C27">
        <v>599</v>
      </c>
      <c r="F27" t="s">
        <v>48</v>
      </c>
      <c r="G27" t="s">
        <v>13</v>
      </c>
      <c r="H27" t="s">
        <v>57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70E86-BC11-4DB6-83F1-CA0E01AFB8E9}">
  <sheetPr codeName="Sheet12"/>
  <dimension ref="A1:N34"/>
  <sheetViews>
    <sheetView zoomScale="115" zoomScaleNormal="115" workbookViewId="0">
      <selection activeCell="M28" sqref="M28"/>
    </sheetView>
  </sheetViews>
  <sheetFormatPr defaultRowHeight="15" x14ac:dyDescent="0.25"/>
  <cols>
    <col min="1" max="1" width="10.5703125" bestFit="1" customWidth="1"/>
    <col min="2" max="2" width="9.42578125" bestFit="1" customWidth="1"/>
    <col min="6" max="6" width="13.28515625" bestFit="1" customWidth="1"/>
    <col min="8" max="8" width="9.85546875" bestFit="1" customWidth="1"/>
    <col min="10" max="10" width="13.5703125" bestFit="1" customWidth="1"/>
  </cols>
  <sheetData>
    <row r="1" spans="1:14" x14ac:dyDescent="0.25">
      <c r="J1" t="s">
        <v>60</v>
      </c>
      <c r="L1" t="s">
        <v>104</v>
      </c>
    </row>
    <row r="2" spans="1:14" x14ac:dyDescent="0.25">
      <c r="J2" t="s">
        <v>62</v>
      </c>
      <c r="L2" t="s">
        <v>105</v>
      </c>
    </row>
    <row r="3" spans="1:14" x14ac:dyDescent="0.25">
      <c r="J3" t="s">
        <v>21</v>
      </c>
      <c r="L3" t="s">
        <v>106</v>
      </c>
    </row>
    <row r="4" spans="1:14" x14ac:dyDescent="0.25">
      <c r="J4" t="s">
        <v>61</v>
      </c>
      <c r="L4" t="s">
        <v>107</v>
      </c>
    </row>
    <row r="5" spans="1:14" x14ac:dyDescent="0.25">
      <c r="J5" t="s">
        <v>20</v>
      </c>
    </row>
    <row r="6" spans="1:14" x14ac:dyDescent="0.25">
      <c r="J6" t="s">
        <v>19</v>
      </c>
    </row>
    <row r="7" spans="1:14" x14ac:dyDescent="0.25">
      <c r="J7" t="s">
        <v>24</v>
      </c>
    </row>
    <row r="8" spans="1:14" x14ac:dyDescent="0.25">
      <c r="J8" t="s">
        <v>25</v>
      </c>
    </row>
    <row r="10" spans="1:14" x14ac:dyDescent="0.25">
      <c r="A10" t="s">
        <v>0</v>
      </c>
      <c r="B10" t="s">
        <v>10</v>
      </c>
      <c r="C10" t="s">
        <v>18</v>
      </c>
      <c r="D10" t="s">
        <v>22</v>
      </c>
      <c r="E10" t="s">
        <v>21</v>
      </c>
      <c r="F10" t="s">
        <v>61</v>
      </c>
      <c r="G10" t="s">
        <v>20</v>
      </c>
      <c r="H10" t="s">
        <v>19</v>
      </c>
      <c r="I10">
        <f>DCOUNT(A10:C34,C10,I11:K12)</f>
        <v>1</v>
      </c>
      <c r="L10">
        <f>DCOUNTA(A10:C34,C10,L11:N12)</f>
        <v>1</v>
      </c>
    </row>
    <row r="11" spans="1:14" x14ac:dyDescent="0.25">
      <c r="A11" t="s">
        <v>63</v>
      </c>
      <c r="B11" t="s">
        <v>11</v>
      </c>
      <c r="C11">
        <v>547</v>
      </c>
      <c r="D11">
        <f>COUNT(C10:C34)</f>
        <v>22</v>
      </c>
      <c r="E11">
        <f>COUNTA(A10:C34)</f>
        <v>74</v>
      </c>
      <c r="F11">
        <f>COUNTBLANK(A10:C34)</f>
        <v>1</v>
      </c>
      <c r="G11">
        <f>COUNTIF(B11:B34,G12)</f>
        <v>3</v>
      </c>
      <c r="H11">
        <f>COUNTIFS(A10:A34,H12)</f>
        <v>3</v>
      </c>
      <c r="I11" t="s">
        <v>0</v>
      </c>
      <c r="J11" t="s">
        <v>10</v>
      </c>
      <c r="K11" t="s">
        <v>18</v>
      </c>
      <c r="L11" t="s">
        <v>0</v>
      </c>
      <c r="M11" t="s">
        <v>10</v>
      </c>
      <c r="N11" t="s">
        <v>18</v>
      </c>
    </row>
    <row r="12" spans="1:14" x14ac:dyDescent="0.25">
      <c r="A12" t="s">
        <v>64</v>
      </c>
      <c r="B12" t="s">
        <v>12</v>
      </c>
      <c r="C12">
        <v>547</v>
      </c>
      <c r="G12" t="s">
        <v>71</v>
      </c>
      <c r="H12" t="s">
        <v>63</v>
      </c>
      <c r="I12" t="s">
        <v>63</v>
      </c>
      <c r="J12" t="s">
        <v>11</v>
      </c>
      <c r="K12" t="s">
        <v>27</v>
      </c>
      <c r="L12" t="s">
        <v>47</v>
      </c>
      <c r="M12" t="s">
        <v>69</v>
      </c>
      <c r="N12" t="s">
        <v>27</v>
      </c>
    </row>
    <row r="13" spans="1:14" x14ac:dyDescent="0.25">
      <c r="A13" t="s">
        <v>47</v>
      </c>
      <c r="B13" t="s">
        <v>69</v>
      </c>
      <c r="C13">
        <v>801</v>
      </c>
    </row>
    <row r="14" spans="1:14" x14ac:dyDescent="0.25">
      <c r="A14" t="s">
        <v>65</v>
      </c>
      <c r="B14" t="s">
        <v>52</v>
      </c>
    </row>
    <row r="15" spans="1:14" x14ac:dyDescent="0.25">
      <c r="A15" t="s">
        <v>66</v>
      </c>
      <c r="B15" t="s">
        <v>13</v>
      </c>
      <c r="C15">
        <v>566</v>
      </c>
      <c r="L15">
        <f>DCOUNT(A10:C34,C10,K16:M17)</f>
        <v>22</v>
      </c>
    </row>
    <row r="16" spans="1:14" x14ac:dyDescent="0.25">
      <c r="A16" t="s">
        <v>48</v>
      </c>
      <c r="B16" t="s">
        <v>70</v>
      </c>
      <c r="C16" t="s">
        <v>37</v>
      </c>
    </row>
    <row r="17" spans="1:3" x14ac:dyDescent="0.25">
      <c r="A17" t="s">
        <v>67</v>
      </c>
      <c r="B17" t="s">
        <v>14</v>
      </c>
      <c r="C17">
        <v>900</v>
      </c>
    </row>
    <row r="18" spans="1:3" x14ac:dyDescent="0.25">
      <c r="A18" t="s">
        <v>68</v>
      </c>
      <c r="B18" t="s">
        <v>11</v>
      </c>
      <c r="C18">
        <v>173</v>
      </c>
    </row>
    <row r="19" spans="1:3" x14ac:dyDescent="0.25">
      <c r="A19" t="s">
        <v>63</v>
      </c>
      <c r="B19" t="s">
        <v>12</v>
      </c>
      <c r="C19">
        <v>683</v>
      </c>
    </row>
    <row r="20" spans="1:3" x14ac:dyDescent="0.25">
      <c r="A20" t="s">
        <v>64</v>
      </c>
      <c r="B20" t="s">
        <v>69</v>
      </c>
      <c r="C20">
        <v>296</v>
      </c>
    </row>
    <row r="21" spans="1:3" x14ac:dyDescent="0.25">
      <c r="A21" t="s">
        <v>47</v>
      </c>
      <c r="B21" t="s">
        <v>52</v>
      </c>
      <c r="C21">
        <v>285</v>
      </c>
    </row>
    <row r="22" spans="1:3" x14ac:dyDescent="0.25">
      <c r="A22" t="s">
        <v>65</v>
      </c>
      <c r="B22" t="s">
        <v>13</v>
      </c>
      <c r="C22">
        <v>909</v>
      </c>
    </row>
    <row r="23" spans="1:3" x14ac:dyDescent="0.25">
      <c r="A23" t="s">
        <v>66</v>
      </c>
      <c r="B23" t="s">
        <v>70</v>
      </c>
      <c r="C23">
        <v>147</v>
      </c>
    </row>
    <row r="24" spans="1:3" x14ac:dyDescent="0.25">
      <c r="A24" t="s">
        <v>48</v>
      </c>
      <c r="B24" t="s">
        <v>14</v>
      </c>
      <c r="C24">
        <v>844</v>
      </c>
    </row>
    <row r="25" spans="1:3" x14ac:dyDescent="0.25">
      <c r="A25" t="s">
        <v>67</v>
      </c>
      <c r="B25" t="s">
        <v>11</v>
      </c>
      <c r="C25">
        <v>952</v>
      </c>
    </row>
    <row r="26" spans="1:3" x14ac:dyDescent="0.25">
      <c r="A26" t="s">
        <v>68</v>
      </c>
      <c r="B26" t="s">
        <v>12</v>
      </c>
      <c r="C26">
        <v>698</v>
      </c>
    </row>
    <row r="27" spans="1:3" x14ac:dyDescent="0.25">
      <c r="A27" t="s">
        <v>63</v>
      </c>
      <c r="B27" t="s">
        <v>69</v>
      </c>
      <c r="C27">
        <v>990</v>
      </c>
    </row>
    <row r="28" spans="1:3" x14ac:dyDescent="0.25">
      <c r="A28" t="s">
        <v>64</v>
      </c>
      <c r="B28" t="s">
        <v>52</v>
      </c>
      <c r="C28">
        <v>930</v>
      </c>
    </row>
    <row r="29" spans="1:3" x14ac:dyDescent="0.25">
      <c r="A29" t="s">
        <v>47</v>
      </c>
      <c r="B29" t="s">
        <v>13</v>
      </c>
      <c r="C29">
        <v>717</v>
      </c>
    </row>
    <row r="30" spans="1:3" x14ac:dyDescent="0.25">
      <c r="A30" t="s">
        <v>65</v>
      </c>
      <c r="B30" t="s">
        <v>70</v>
      </c>
      <c r="C30">
        <v>582</v>
      </c>
    </row>
    <row r="31" spans="1:3" x14ac:dyDescent="0.25">
      <c r="A31" t="s">
        <v>66</v>
      </c>
      <c r="B31" t="s">
        <v>14</v>
      </c>
      <c r="C31">
        <v>736</v>
      </c>
    </row>
    <row r="32" spans="1:3" x14ac:dyDescent="0.25">
      <c r="A32" t="s">
        <v>48</v>
      </c>
      <c r="B32" t="s">
        <v>13</v>
      </c>
      <c r="C32">
        <v>642</v>
      </c>
    </row>
    <row r="33" spans="1:3" x14ac:dyDescent="0.25">
      <c r="A33" t="s">
        <v>67</v>
      </c>
      <c r="B33" t="s">
        <v>70</v>
      </c>
      <c r="C33">
        <v>565</v>
      </c>
    </row>
    <row r="34" spans="1:3" x14ac:dyDescent="0.25">
      <c r="A34" t="s">
        <v>68</v>
      </c>
      <c r="B34" t="s">
        <v>14</v>
      </c>
      <c r="C34">
        <v>277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B3FD6-9418-4AC0-A0D2-5961B0D05AFA}">
  <sheetPr codeName="Sheet13"/>
  <dimension ref="A1:H11"/>
  <sheetViews>
    <sheetView tabSelected="1" zoomScale="148" zoomScaleNormal="148" workbookViewId="0">
      <selection activeCell="M28" sqref="M28"/>
    </sheetView>
  </sheetViews>
  <sheetFormatPr defaultRowHeight="15" x14ac:dyDescent="0.25"/>
  <cols>
    <col min="7" max="7" width="13.85546875" bestFit="1" customWidth="1"/>
  </cols>
  <sheetData>
    <row r="1" spans="1:8" x14ac:dyDescent="0.25">
      <c r="G1">
        <v>30000</v>
      </c>
      <c r="H1">
        <v>0</v>
      </c>
    </row>
    <row r="2" spans="1:8" x14ac:dyDescent="0.25">
      <c r="A2" t="s">
        <v>0</v>
      </c>
      <c r="B2" t="s">
        <v>18</v>
      </c>
      <c r="C2" t="s">
        <v>87</v>
      </c>
      <c r="G2" t="s">
        <v>86</v>
      </c>
      <c r="H2">
        <v>3000</v>
      </c>
    </row>
    <row r="3" spans="1:8" x14ac:dyDescent="0.25">
      <c r="A3" t="s">
        <v>72</v>
      </c>
      <c r="B3">
        <v>30000</v>
      </c>
      <c r="C3" t="str">
        <f>IF(B3&lt;30000,0,IF(AND(B3&gt;=30000,B3&lt;40000),"3000",IF(AND(B3&gt;=40000,B3&lt;50000),"4000",IF(AND(B3&gt;=50000,B3&lt;60000),"5000",IF(AND(B3&gt;=60000,B3&lt;70000),"6000",IF(AND(B3&gt;=70000,B3&lt;80000),"7000","??"))))))</f>
        <v>3000</v>
      </c>
      <c r="G3" t="s">
        <v>81</v>
      </c>
      <c r="H3">
        <v>4000</v>
      </c>
    </row>
    <row r="4" spans="1:8" x14ac:dyDescent="0.25">
      <c r="A4" t="s">
        <v>73</v>
      </c>
      <c r="B4">
        <v>40000</v>
      </c>
      <c r="C4" t="str">
        <f>IF(B4&lt;30000,0,IF(AND(B4&gt;=30000,B4&lt;40000),"3000",IF(AND(B4&gt;=40000,B4&lt;50000),"4000",IF(AND(B4&gt;=50000,B4&lt;60000),"5000",IF(AND(B4&gt;=60000,B4&lt;70000),"6000",IF(AND(B4&gt;=70000,B4&lt;80000),"7000","??"))))))</f>
        <v>4000</v>
      </c>
      <c r="G4" t="s">
        <v>82</v>
      </c>
      <c r="H4">
        <v>5000</v>
      </c>
    </row>
    <row r="5" spans="1:8" x14ac:dyDescent="0.25">
      <c r="A5" t="s">
        <v>74</v>
      </c>
      <c r="B5">
        <v>20000</v>
      </c>
      <c r="C5">
        <f>IF(B5&lt;30000,0,IF(AND(B5&gt;=30000,B5&lt;40000),"3000",IF(AND(B5&gt;=40000,B5&lt;50000),"4000",IF(AND(B5&gt;=50000,B5&lt;60000),"5000",IF(AND(B5&gt;=60000,B5&lt;70000),"6000",IF(AND(B5&gt;=70000,B5&lt;80000),"7000","??"))))))</f>
        <v>0</v>
      </c>
      <c r="G5" t="s">
        <v>83</v>
      </c>
      <c r="H5">
        <v>6000</v>
      </c>
    </row>
    <row r="6" spans="1:8" x14ac:dyDescent="0.25">
      <c r="A6" t="s">
        <v>75</v>
      </c>
      <c r="B6">
        <v>55000</v>
      </c>
      <c r="C6" t="str">
        <f>IF(B6&lt;30000,0,IF(AND(B6&gt;=30000,B6&lt;40000),"3000",IF(AND(B6&gt;=40000,B6&lt;50000),"4000",IF(AND(B6&gt;=50000,B6&lt;60000),"5000",IF(AND(B6&gt;=60000,B6&lt;70000),"6000",IF(AND(B6&gt;=70000,B6&lt;80000),"7000","??"))))))</f>
        <v>5000</v>
      </c>
      <c r="G6" t="s">
        <v>84</v>
      </c>
      <c r="H6">
        <v>7000</v>
      </c>
    </row>
    <row r="7" spans="1:8" x14ac:dyDescent="0.25">
      <c r="A7" t="s">
        <v>76</v>
      </c>
      <c r="B7">
        <v>66000</v>
      </c>
      <c r="C7" t="str">
        <f>IF(B7&lt;30000,0,IF(AND(B7&gt;=30000,B7&lt;40000),"3000",IF(AND(B7&gt;=40000,B7&lt;50000),"4000",IF(AND(B7&gt;=50000,B7&lt;60000),"5000",IF(AND(B7&gt;=60000,B7&lt;70000),"6000",IF(AND(B7&gt;=70000,B7&lt;80000),"7000","??"))))))</f>
        <v>6000</v>
      </c>
      <c r="G7" t="s">
        <v>85</v>
      </c>
      <c r="H7">
        <v>8000</v>
      </c>
    </row>
    <row r="8" spans="1:8" x14ac:dyDescent="0.25">
      <c r="A8" t="s">
        <v>77</v>
      </c>
      <c r="B8">
        <v>90000</v>
      </c>
      <c r="C8" t="str">
        <f t="shared" ref="C8:C11" si="0">IF(B8&lt;30000,0,IF(AND(B8&gt;=30000,B8&lt;40000),"3000",IF(AND(B8&gt;=40000,B8&lt;50000),"4000",IF(AND(B8&gt;=50000,B8&lt;60000),"5000",IF(AND(B8&gt;=60000,B8&lt;70000),"6000",IF(AND(B8&gt;=70000,B8&lt;80000),"7000","??"))))))</f>
        <v>??</v>
      </c>
    </row>
    <row r="9" spans="1:8" x14ac:dyDescent="0.25">
      <c r="A9" t="s">
        <v>78</v>
      </c>
      <c r="B9">
        <v>37000</v>
      </c>
      <c r="C9" t="str">
        <f t="shared" si="0"/>
        <v>3000</v>
      </c>
    </row>
    <row r="10" spans="1:8" x14ac:dyDescent="0.25">
      <c r="A10" t="s">
        <v>79</v>
      </c>
      <c r="B10">
        <v>41000</v>
      </c>
      <c r="C10" t="str">
        <f t="shared" si="0"/>
        <v>4000</v>
      </c>
    </row>
    <row r="11" spans="1:8" x14ac:dyDescent="0.25">
      <c r="A11" t="s">
        <v>80</v>
      </c>
      <c r="B11">
        <v>100000</v>
      </c>
      <c r="C11" t="str">
        <f t="shared" si="0"/>
        <v>??</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64552-C800-4E3A-82D4-BEDECAD08F85}">
  <sheetPr codeName="Sheet14"/>
  <dimension ref="B1:K10"/>
  <sheetViews>
    <sheetView zoomScale="145" zoomScaleNormal="145" workbookViewId="0">
      <selection activeCell="M28" sqref="M28"/>
    </sheetView>
  </sheetViews>
  <sheetFormatPr defaultRowHeight="15" x14ac:dyDescent="0.25"/>
  <cols>
    <col min="2" max="2" width="6.5703125" bestFit="1" customWidth="1"/>
    <col min="3" max="3" width="8.42578125" customWidth="1"/>
    <col min="4" max="4" width="8.28515625" bestFit="1" customWidth="1"/>
    <col min="5" max="5" width="11.42578125" bestFit="1" customWidth="1"/>
    <col min="6" max="6" width="9" bestFit="1" customWidth="1"/>
    <col min="7" max="7" width="6.7109375" customWidth="1"/>
    <col min="8" max="8" width="8.7109375" bestFit="1" customWidth="1"/>
    <col min="9" max="9" width="7.42578125" bestFit="1" customWidth="1"/>
    <col min="10" max="10" width="5.42578125" bestFit="1" customWidth="1"/>
    <col min="11" max="11" width="6.5703125" bestFit="1" customWidth="1"/>
    <col min="12" max="12" width="9.28515625" customWidth="1"/>
  </cols>
  <sheetData>
    <row r="1" spans="2:11" x14ac:dyDescent="0.25">
      <c r="H1" t="s">
        <v>101</v>
      </c>
      <c r="I1">
        <v>40</v>
      </c>
      <c r="J1">
        <v>500</v>
      </c>
    </row>
    <row r="2" spans="2:11" x14ac:dyDescent="0.25">
      <c r="H2" t="s">
        <v>102</v>
      </c>
      <c r="I2">
        <v>40</v>
      </c>
    </row>
    <row r="3" spans="2:11" x14ac:dyDescent="0.25">
      <c r="B3" t="s">
        <v>88</v>
      </c>
      <c r="C3" t="s">
        <v>93</v>
      </c>
      <c r="D3" t="s">
        <v>94</v>
      </c>
      <c r="E3" t="s">
        <v>95</v>
      </c>
      <c r="F3" t="s">
        <v>96</v>
      </c>
      <c r="G3" t="s">
        <v>97</v>
      </c>
      <c r="H3" t="s">
        <v>98</v>
      </c>
      <c r="I3" t="s">
        <v>99</v>
      </c>
      <c r="J3" t="s">
        <v>100</v>
      </c>
      <c r="K3" t="s">
        <v>103</v>
      </c>
    </row>
    <row r="4" spans="2:11" x14ac:dyDescent="0.25">
      <c r="B4" t="s">
        <v>75</v>
      </c>
      <c r="C4">
        <v>16</v>
      </c>
      <c r="D4">
        <v>10</v>
      </c>
      <c r="E4">
        <v>30</v>
      </c>
      <c r="F4">
        <v>11</v>
      </c>
      <c r="G4">
        <v>15</v>
      </c>
      <c r="H4">
        <v>26</v>
      </c>
      <c r="I4">
        <v>10</v>
      </c>
      <c r="J4">
        <f>IF(C4&gt;=21,C4*40+500,C4*40)+IF(D4&gt;=21,D4*40+500,D4*40)+IF(E4&gt;=21,E4*40+500,E4*40)+IF(F4&gt;=21,F4*40+500,F4*40)+IF(G4&gt;=21,G4*40+500,G4*40)+IF(H4&gt;=21,H4*40+500,H4*40)+IF(I4&gt;=21,I4*40+500,I4*40)</f>
        <v>5720</v>
      </c>
      <c r="K4">
        <f>COUNTIF(C4:I4,$H$1)*500+SUM(C4,D4,E4,F4,G4,H4,I4)*40</f>
        <v>5720</v>
      </c>
    </row>
    <row r="5" spans="2:11" x14ac:dyDescent="0.25">
      <c r="B5" t="s">
        <v>74</v>
      </c>
      <c r="C5">
        <v>17</v>
      </c>
      <c r="D5">
        <v>30</v>
      </c>
      <c r="E5">
        <v>10</v>
      </c>
      <c r="F5">
        <v>30</v>
      </c>
      <c r="G5">
        <v>18</v>
      </c>
      <c r="H5">
        <v>16</v>
      </c>
      <c r="I5">
        <v>23</v>
      </c>
      <c r="J5">
        <f>IF(C5&gt;=21,C5*40+500,C5*40)+IF(D5&gt;=21,D5*40+500,D5*40)+IF(E5&gt;=21,E5*40+500,E5*40)+IF(F5&gt;=21,F5*40+500,F5*40)+IF(G5&gt;=21,G5*40+500,G5*40)+IF(H5&gt;=21,H5*40+500,H5*40)+IF(I5&gt;=21,I5*40+500,I5*40)</f>
        <v>7260</v>
      </c>
      <c r="K5">
        <f>COUNTIF(C5:I5,$H$1)*500+SUM(C5,D5,E5,F5,G5,H5,I5)*40</f>
        <v>7260</v>
      </c>
    </row>
    <row r="6" spans="2:11" x14ac:dyDescent="0.25">
      <c r="B6" t="s">
        <v>89</v>
      </c>
      <c r="C6">
        <v>24</v>
      </c>
      <c r="D6">
        <v>20</v>
      </c>
      <c r="E6">
        <v>23</v>
      </c>
      <c r="F6">
        <v>21</v>
      </c>
      <c r="G6">
        <v>23</v>
      </c>
      <c r="H6">
        <v>28</v>
      </c>
      <c r="I6">
        <v>16</v>
      </c>
      <c r="J6">
        <f>IF(C6&gt;=21,C6*40+500,C6*40)+IF(D6&gt;=21,D6*40+500,D6*40)+IF(E6&gt;=21,E6*40+500,E6*40)+IF(F6&gt;=21,F6*40+500,F6*40)+IF(G6&gt;=21,G6*40+500,G6*40)+IF(H6&gt;=21,H6*40+500,H6*40)+IF(I6&gt;=21,I6*40+500,I6*40)</f>
        <v>8700</v>
      </c>
      <c r="K6">
        <f>COUNTIF(C6:I6,$H$1)*500+SUM(C6,D6,E6,F6,G6,H6,I6)*40</f>
        <v>8700</v>
      </c>
    </row>
    <row r="7" spans="2:11" x14ac:dyDescent="0.25">
      <c r="B7" t="s">
        <v>90</v>
      </c>
      <c r="C7">
        <v>21</v>
      </c>
      <c r="D7">
        <v>16</v>
      </c>
      <c r="E7">
        <v>11</v>
      </c>
      <c r="F7">
        <v>24</v>
      </c>
      <c r="G7">
        <v>26</v>
      </c>
      <c r="H7">
        <v>20</v>
      </c>
      <c r="I7">
        <v>24</v>
      </c>
      <c r="J7">
        <f t="shared" ref="J7:J10" si="0">IF(C7&gt;=21,C7*40+500,C7*40)+IF(D7&gt;=21,D7*40+500,D7*40)+IF(E7&gt;=21,E7*40+500,E7*40)+IF(F7&gt;=21,F7*40+500,F7*40)+IF(G7&gt;=21,G7*40+500,G7*40)+IF(H7&gt;=21,H7*40+500,H7*40)+IF(I7&gt;=21,I7*40+500,I7*40)</f>
        <v>7680</v>
      </c>
      <c r="K7">
        <f t="shared" ref="K7:K10" si="1">COUNTIF(C7:I7,$H$1)*500+SUM(C7,D7,E7,F7,G7,H7,I7)*40</f>
        <v>7680</v>
      </c>
    </row>
    <row r="8" spans="2:11" x14ac:dyDescent="0.25">
      <c r="B8" t="s">
        <v>91</v>
      </c>
      <c r="C8">
        <v>10</v>
      </c>
      <c r="D8">
        <v>25</v>
      </c>
      <c r="E8">
        <v>12</v>
      </c>
      <c r="F8">
        <v>27</v>
      </c>
      <c r="G8">
        <v>30</v>
      </c>
      <c r="H8">
        <v>19</v>
      </c>
      <c r="I8">
        <v>28</v>
      </c>
      <c r="J8">
        <f t="shared" si="0"/>
        <v>8040</v>
      </c>
      <c r="K8">
        <f t="shared" si="1"/>
        <v>8040</v>
      </c>
    </row>
    <row r="9" spans="2:11" x14ac:dyDescent="0.25">
      <c r="B9" t="s">
        <v>92</v>
      </c>
      <c r="C9">
        <v>30</v>
      </c>
      <c r="D9">
        <v>19</v>
      </c>
      <c r="E9">
        <v>30</v>
      </c>
      <c r="F9">
        <v>16</v>
      </c>
      <c r="G9">
        <v>10</v>
      </c>
      <c r="H9">
        <v>13</v>
      </c>
      <c r="I9">
        <v>18</v>
      </c>
      <c r="J9">
        <f t="shared" si="0"/>
        <v>6440</v>
      </c>
      <c r="K9">
        <f t="shared" si="1"/>
        <v>6440</v>
      </c>
    </row>
    <row r="10" spans="2:11" x14ac:dyDescent="0.25">
      <c r="B10" t="s">
        <v>76</v>
      </c>
      <c r="C10">
        <v>18</v>
      </c>
      <c r="D10">
        <v>27</v>
      </c>
      <c r="E10">
        <v>19</v>
      </c>
      <c r="F10">
        <v>26</v>
      </c>
      <c r="G10">
        <v>20</v>
      </c>
      <c r="H10">
        <v>10</v>
      </c>
      <c r="I10">
        <v>10</v>
      </c>
      <c r="J10">
        <f t="shared" si="0"/>
        <v>6200</v>
      </c>
      <c r="K10">
        <f t="shared" si="1"/>
        <v>6200</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F0749-95DE-41AA-B310-80D348DD92DA}">
  <sheetPr codeName="Sheet15"/>
  <dimension ref="A1:AD32"/>
  <sheetViews>
    <sheetView workbookViewId="0">
      <selection activeCell="M28" sqref="M28"/>
    </sheetView>
  </sheetViews>
  <sheetFormatPr defaultRowHeight="15" x14ac:dyDescent="0.25"/>
  <cols>
    <col min="1" max="2" width="8.85546875" bestFit="1" customWidth="1"/>
    <col min="3" max="7" width="8" bestFit="1" customWidth="1"/>
    <col min="8" max="8" width="8.42578125" bestFit="1" customWidth="1"/>
    <col min="9" max="9" width="10.42578125" bestFit="1" customWidth="1"/>
    <col min="10" max="10" width="18" bestFit="1" customWidth="1"/>
    <col min="11" max="11" width="8" bestFit="1" customWidth="1"/>
    <col min="12" max="12" width="4" bestFit="1" customWidth="1"/>
    <col min="13" max="13" width="8.85546875" bestFit="1" customWidth="1"/>
    <col min="14" max="14" width="4" bestFit="1" customWidth="1"/>
    <col min="15" max="15" width="8.42578125" bestFit="1" customWidth="1"/>
    <col min="16" max="16" width="2" bestFit="1" customWidth="1"/>
    <col min="18" max="18" width="8.85546875" bestFit="1" customWidth="1"/>
    <col min="19" max="21" width="6" bestFit="1" customWidth="1"/>
    <col min="22" max="22" width="7.28515625" bestFit="1" customWidth="1"/>
    <col min="23" max="23" width="7.42578125" bestFit="1" customWidth="1"/>
    <col min="24" max="24" width="6.140625" bestFit="1" customWidth="1"/>
    <col min="25" max="25" width="8.85546875" bestFit="1" customWidth="1"/>
    <col min="26" max="26" width="7.5703125" bestFit="1" customWidth="1"/>
    <col min="27" max="27" width="5.28515625" bestFit="1" customWidth="1"/>
    <col min="28" max="28" width="7.42578125" bestFit="1" customWidth="1"/>
    <col min="29" max="29" width="6.28515625" bestFit="1" customWidth="1"/>
    <col min="30" max="30" width="6.5703125" bestFit="1" customWidth="1"/>
  </cols>
  <sheetData>
    <row r="1" spans="1:30" x14ac:dyDescent="0.25">
      <c r="J1" s="45" t="s">
        <v>126</v>
      </c>
      <c r="K1" s="45"/>
      <c r="L1" s="45"/>
      <c r="M1" s="45"/>
      <c r="N1" s="45"/>
    </row>
    <row r="2" spans="1:30" x14ac:dyDescent="0.25">
      <c r="J2" s="45"/>
      <c r="K2" s="45"/>
      <c r="L2" s="45"/>
      <c r="M2" s="45"/>
      <c r="N2" s="45"/>
    </row>
    <row r="3" spans="1:30" x14ac:dyDescent="0.25">
      <c r="A3" t="s">
        <v>0</v>
      </c>
      <c r="B3" t="s">
        <v>116</v>
      </c>
      <c r="C3" t="s">
        <v>117</v>
      </c>
      <c r="D3" t="s">
        <v>118</v>
      </c>
      <c r="E3" t="s">
        <v>119</v>
      </c>
      <c r="F3" t="s">
        <v>120</v>
      </c>
      <c r="G3" t="s">
        <v>121</v>
      </c>
      <c r="H3" t="s">
        <v>122</v>
      </c>
      <c r="I3" t="s">
        <v>123</v>
      </c>
      <c r="J3" t="s">
        <v>124</v>
      </c>
      <c r="K3" t="str">
        <f>INDEX(B3:G3,,MATCH(K4,B6:G6,0))</f>
        <v>STORE 4</v>
      </c>
      <c r="M3" t="s">
        <v>0</v>
      </c>
      <c r="R3" t="s">
        <v>0</v>
      </c>
      <c r="S3" t="s">
        <v>46</v>
      </c>
      <c r="T3" t="s">
        <v>66</v>
      </c>
      <c r="U3" t="s">
        <v>2</v>
      </c>
      <c r="V3" t="s">
        <v>108</v>
      </c>
      <c r="W3" t="s">
        <v>109</v>
      </c>
      <c r="X3" t="s">
        <v>110</v>
      </c>
      <c r="Y3" t="s">
        <v>111</v>
      </c>
      <c r="Z3" t="s">
        <v>112</v>
      </c>
      <c r="AA3" t="s">
        <v>113</v>
      </c>
      <c r="AB3" t="s">
        <v>114</v>
      </c>
      <c r="AC3" t="s">
        <v>115</v>
      </c>
      <c r="AD3" t="s">
        <v>50</v>
      </c>
    </row>
    <row r="4" spans="1:30" x14ac:dyDescent="0.25">
      <c r="A4" t="s">
        <v>46</v>
      </c>
      <c r="B4">
        <v>409</v>
      </c>
      <c r="C4">
        <v>529</v>
      </c>
      <c r="D4">
        <v>621</v>
      </c>
      <c r="E4">
        <v>574</v>
      </c>
      <c r="F4">
        <v>876</v>
      </c>
      <c r="G4">
        <v>495</v>
      </c>
      <c r="H4">
        <f>MATCH(A8,A4:A15,0)</f>
        <v>5</v>
      </c>
      <c r="I4" t="str">
        <f>INDEX(A4:A15,2)</f>
        <v>JATIN</v>
      </c>
      <c r="J4" t="str">
        <f>INDEX(A4:A15,MATCH(A5,A4:A15,0))</f>
        <v>JATIN</v>
      </c>
      <c r="K4">
        <f>MAX(B6:G6)</f>
        <v>926</v>
      </c>
      <c r="M4" t="s">
        <v>46</v>
      </c>
    </row>
    <row r="5" spans="1:30" x14ac:dyDescent="0.25">
      <c r="A5" t="s">
        <v>66</v>
      </c>
      <c r="B5">
        <v>809</v>
      </c>
      <c r="C5">
        <v>988</v>
      </c>
      <c r="D5">
        <v>505</v>
      </c>
      <c r="E5">
        <v>314</v>
      </c>
      <c r="F5">
        <v>538</v>
      </c>
      <c r="G5">
        <v>927</v>
      </c>
      <c r="H5">
        <f>MATCH(A6,A4:A15,0)</f>
        <v>3</v>
      </c>
      <c r="I5" t="str">
        <f>INDEX(A4:A15,3)</f>
        <v>VIPIN</v>
      </c>
      <c r="J5" t="str">
        <f>INDEX(B3:G3,,MATCH(E7,B7:G7,0))</f>
        <v>STORE 4</v>
      </c>
      <c r="M5" t="s">
        <v>66</v>
      </c>
    </row>
    <row r="6" spans="1:30" x14ac:dyDescent="0.25">
      <c r="A6" t="s">
        <v>2</v>
      </c>
      <c r="B6">
        <v>330</v>
      </c>
      <c r="C6">
        <v>582</v>
      </c>
      <c r="D6">
        <v>777</v>
      </c>
      <c r="E6">
        <v>926</v>
      </c>
      <c r="F6">
        <v>533</v>
      </c>
      <c r="G6">
        <v>403</v>
      </c>
      <c r="I6" t="str">
        <f>INDEX(B3:G3,,5)</f>
        <v>STORE 5</v>
      </c>
      <c r="J6">
        <f>INDEX(B4:B15,MATCH(A5,A4:A15,))</f>
        <v>809</v>
      </c>
      <c r="M6" t="s">
        <v>2</v>
      </c>
      <c r="R6" t="s">
        <v>0</v>
      </c>
      <c r="S6" t="s">
        <v>46</v>
      </c>
      <c r="T6" t="s">
        <v>66</v>
      </c>
      <c r="U6" t="s">
        <v>2</v>
      </c>
      <c r="V6" t="s">
        <v>108</v>
      </c>
      <c r="W6" t="s">
        <v>109</v>
      </c>
      <c r="X6" t="s">
        <v>110</v>
      </c>
      <c r="Y6" t="s">
        <v>111</v>
      </c>
      <c r="Z6" t="s">
        <v>112</v>
      </c>
      <c r="AA6" t="s">
        <v>113</v>
      </c>
      <c r="AB6" t="s">
        <v>114</v>
      </c>
      <c r="AC6" t="s">
        <v>115</v>
      </c>
      <c r="AD6" t="s">
        <v>50</v>
      </c>
    </row>
    <row r="7" spans="1:30" x14ac:dyDescent="0.25">
      <c r="A7" t="s">
        <v>108</v>
      </c>
      <c r="B7">
        <v>386</v>
      </c>
      <c r="C7">
        <v>347</v>
      </c>
      <c r="D7">
        <v>104</v>
      </c>
      <c r="E7">
        <v>745</v>
      </c>
      <c r="F7">
        <v>805</v>
      </c>
      <c r="G7">
        <v>139</v>
      </c>
      <c r="I7">
        <f>INDEX(B4:G15,MATCH(A7,A4:A15,0),MATCH(C3,B3:G3,0))</f>
        <v>347</v>
      </c>
      <c r="J7">
        <f>INDEX(B7:G7,,MATCH(C3,B3:G3,0))</f>
        <v>347</v>
      </c>
      <c r="M7" t="s">
        <v>108</v>
      </c>
      <c r="O7" t="s">
        <v>2</v>
      </c>
      <c r="P7">
        <f>MATCH(O7,M4:M15,0)</f>
        <v>3</v>
      </c>
      <c r="R7" t="s">
        <v>46</v>
      </c>
    </row>
    <row r="8" spans="1:30" x14ac:dyDescent="0.25">
      <c r="A8" t="s">
        <v>109</v>
      </c>
      <c r="B8">
        <v>510</v>
      </c>
      <c r="C8">
        <v>244</v>
      </c>
      <c r="D8">
        <v>386</v>
      </c>
      <c r="E8">
        <v>570</v>
      </c>
      <c r="F8">
        <v>425</v>
      </c>
      <c r="G8">
        <v>924</v>
      </c>
      <c r="I8">
        <f>INDEX(B4:G15,MATCH(A14,A4:A15,0),MATCH(F3,B3:G3,0))</f>
        <v>416</v>
      </c>
      <c r="J8">
        <f>INDEX(B4:G15,MATCH(A8,A4:A15,0),MATCH(C3,B3:G3))</f>
        <v>244</v>
      </c>
      <c r="M8" t="s">
        <v>109</v>
      </c>
      <c r="R8" t="s">
        <v>66</v>
      </c>
    </row>
    <row r="9" spans="1:30" x14ac:dyDescent="0.25">
      <c r="A9" t="s">
        <v>110</v>
      </c>
      <c r="B9">
        <v>366</v>
      </c>
      <c r="C9">
        <v>304</v>
      </c>
      <c r="D9">
        <v>892</v>
      </c>
      <c r="E9">
        <v>712</v>
      </c>
      <c r="F9">
        <v>271</v>
      </c>
      <c r="G9">
        <v>341</v>
      </c>
      <c r="H9">
        <f>MATCH(C8,C4:C15,0)</f>
        <v>5</v>
      </c>
      <c r="J9">
        <f>INDEX(A3:G15,MATCH(A5,A3:A15,0),MATCH(D3,A3:G3))</f>
        <v>505</v>
      </c>
      <c r="M9" t="s">
        <v>110</v>
      </c>
      <c r="O9" t="s">
        <v>110</v>
      </c>
      <c r="P9">
        <f>MATCH(O9,M4:M15,0)</f>
        <v>6</v>
      </c>
      <c r="R9" t="s">
        <v>2</v>
      </c>
      <c r="W9" t="s">
        <v>109</v>
      </c>
      <c r="X9">
        <f>MATCH(W9,S3:AD3,0)</f>
        <v>5</v>
      </c>
    </row>
    <row r="10" spans="1:30" x14ac:dyDescent="0.25">
      <c r="A10" t="s">
        <v>111</v>
      </c>
      <c r="B10">
        <v>113</v>
      </c>
      <c r="C10">
        <v>387</v>
      </c>
      <c r="D10">
        <v>1000</v>
      </c>
      <c r="E10">
        <v>425</v>
      </c>
      <c r="F10">
        <v>151</v>
      </c>
      <c r="G10">
        <v>901</v>
      </c>
      <c r="J10">
        <f>INDEX(A3:G15,MATCH(A10,A3:A15,0),MATCH(E3,A3:G3,))</f>
        <v>425</v>
      </c>
      <c r="M10" t="s">
        <v>111</v>
      </c>
      <c r="R10" t="s">
        <v>108</v>
      </c>
    </row>
    <row r="11" spans="1:30" x14ac:dyDescent="0.25">
      <c r="A11" t="s">
        <v>112</v>
      </c>
      <c r="B11">
        <v>673</v>
      </c>
      <c r="C11">
        <v>569</v>
      </c>
      <c r="D11">
        <v>786</v>
      </c>
      <c r="E11">
        <v>698</v>
      </c>
      <c r="F11">
        <v>968</v>
      </c>
      <c r="G11">
        <v>492</v>
      </c>
      <c r="J11">
        <f>INDEX(B4:G15,MATCH(A8,A4:A15,0),MATCH(D3,B3:G3,0))</f>
        <v>386</v>
      </c>
      <c r="M11" t="s">
        <v>112</v>
      </c>
      <c r="O11" t="str">
        <f>INDEX(M3:M15,MATCH(M11,M3:M15,0))</f>
        <v>DINESH</v>
      </c>
      <c r="R11" t="s">
        <v>109</v>
      </c>
    </row>
    <row r="12" spans="1:30" x14ac:dyDescent="0.25">
      <c r="A12" t="s">
        <v>113</v>
      </c>
      <c r="B12">
        <v>933</v>
      </c>
      <c r="C12">
        <v>308</v>
      </c>
      <c r="D12">
        <v>653</v>
      </c>
      <c r="E12">
        <v>599</v>
      </c>
      <c r="F12">
        <v>924</v>
      </c>
      <c r="G12">
        <v>297</v>
      </c>
      <c r="J12">
        <f>INDEX(B9:G9,,MATCH(D8,B8:G8,0))</f>
        <v>892</v>
      </c>
      <c r="M12" t="s">
        <v>113</v>
      </c>
      <c r="O12" t="str">
        <f>INDEX(M3:M15,4)</f>
        <v>VIPIN</v>
      </c>
      <c r="R12" t="s">
        <v>110</v>
      </c>
    </row>
    <row r="13" spans="1:30" x14ac:dyDescent="0.25">
      <c r="A13" t="s">
        <v>114</v>
      </c>
      <c r="B13">
        <v>781</v>
      </c>
      <c r="C13">
        <v>333</v>
      </c>
      <c r="D13">
        <v>256</v>
      </c>
      <c r="E13">
        <v>513</v>
      </c>
      <c r="F13">
        <v>214</v>
      </c>
      <c r="G13">
        <v>911</v>
      </c>
      <c r="J13">
        <f>INDEX(A3:G15,MATCH(A7,A3:A15,0),MATCH(D3,A3:G3,0))</f>
        <v>104</v>
      </c>
      <c r="M13" t="s">
        <v>114</v>
      </c>
      <c r="O13" t="str">
        <f>INDEX(M3:M15,MATCH(M13,M3:M15,0))</f>
        <v>PRINCE</v>
      </c>
      <c r="R13" t="s">
        <v>111</v>
      </c>
    </row>
    <row r="14" spans="1:30" x14ac:dyDescent="0.25">
      <c r="A14" t="s">
        <v>115</v>
      </c>
      <c r="B14">
        <v>380</v>
      </c>
      <c r="C14">
        <v>755</v>
      </c>
      <c r="D14">
        <v>679</v>
      </c>
      <c r="E14">
        <v>510</v>
      </c>
      <c r="F14">
        <v>416</v>
      </c>
      <c r="G14">
        <v>920</v>
      </c>
      <c r="J14">
        <f>INDEX(B4:G15,MATCH(A7,A4:A15,0),MATCH(E3,B3:G3,0))</f>
        <v>745</v>
      </c>
      <c r="M14" t="s">
        <v>115</v>
      </c>
      <c r="R14" t="s">
        <v>112</v>
      </c>
    </row>
    <row r="15" spans="1:30" x14ac:dyDescent="0.25">
      <c r="A15" t="s">
        <v>50</v>
      </c>
      <c r="B15">
        <v>158</v>
      </c>
      <c r="C15">
        <v>795</v>
      </c>
      <c r="D15">
        <v>951</v>
      </c>
      <c r="E15">
        <v>458</v>
      </c>
      <c r="F15">
        <v>292</v>
      </c>
      <c r="G15">
        <v>209</v>
      </c>
      <c r="J15">
        <f>INDEX(B4:G15,MATCH(J16,A4:A15,0),MATCH(J17,B3:G3,0))</f>
        <v>292</v>
      </c>
      <c r="M15" t="s">
        <v>50</v>
      </c>
      <c r="R15" t="s">
        <v>113</v>
      </c>
    </row>
    <row r="16" spans="1:30" x14ac:dyDescent="0.25">
      <c r="J16" t="s">
        <v>50</v>
      </c>
      <c r="R16" t="s">
        <v>114</v>
      </c>
    </row>
    <row r="17" spans="2:18" x14ac:dyDescent="0.25">
      <c r="J17" t="s">
        <v>120</v>
      </c>
      <c r="R17" t="s">
        <v>115</v>
      </c>
    </row>
    <row r="18" spans="2:18" x14ac:dyDescent="0.25">
      <c r="I18" t="s">
        <v>112</v>
      </c>
      <c r="J18">
        <f>INDEX(B4:G15,MATCH(I18,A4:A15,0),MATCH(I19,B3:G3,0))</f>
        <v>968</v>
      </c>
      <c r="R18" t="s">
        <v>50</v>
      </c>
    </row>
    <row r="19" spans="2:18" x14ac:dyDescent="0.25">
      <c r="I19" t="s">
        <v>120</v>
      </c>
    </row>
    <row r="20" spans="2:18" x14ac:dyDescent="0.25">
      <c r="B20" t="s">
        <v>0</v>
      </c>
      <c r="C20" t="s">
        <v>116</v>
      </c>
      <c r="D20" t="s">
        <v>117</v>
      </c>
      <c r="E20" t="s">
        <v>118</v>
      </c>
      <c r="F20" t="s">
        <v>119</v>
      </c>
      <c r="G20" t="s">
        <v>120</v>
      </c>
      <c r="H20" t="s">
        <v>121</v>
      </c>
      <c r="I20" t="s">
        <v>125</v>
      </c>
    </row>
    <row r="21" spans="2:18" x14ac:dyDescent="0.25">
      <c r="B21" t="s">
        <v>46</v>
      </c>
      <c r="C21">
        <v>409</v>
      </c>
      <c r="D21">
        <v>529</v>
      </c>
      <c r="E21">
        <v>621</v>
      </c>
      <c r="F21">
        <v>574</v>
      </c>
      <c r="G21">
        <v>876</v>
      </c>
      <c r="H21">
        <v>495</v>
      </c>
      <c r="I21">
        <f>MAX(C21:H21)</f>
        <v>876</v>
      </c>
    </row>
    <row r="22" spans="2:18" x14ac:dyDescent="0.25">
      <c r="B22" t="s">
        <v>66</v>
      </c>
      <c r="C22">
        <v>809</v>
      </c>
      <c r="D22">
        <v>988</v>
      </c>
      <c r="E22">
        <v>505</v>
      </c>
      <c r="F22">
        <v>314</v>
      </c>
      <c r="G22">
        <v>538</v>
      </c>
      <c r="H22">
        <v>927</v>
      </c>
      <c r="I22">
        <f t="shared" ref="I22:I32" si="0">MAX(C22:H22)</f>
        <v>988</v>
      </c>
    </row>
    <row r="23" spans="2:18" x14ac:dyDescent="0.25">
      <c r="B23" t="s">
        <v>2</v>
      </c>
      <c r="C23">
        <v>330</v>
      </c>
      <c r="D23">
        <v>582</v>
      </c>
      <c r="E23">
        <v>777</v>
      </c>
      <c r="F23">
        <v>926</v>
      </c>
      <c r="G23">
        <v>533</v>
      </c>
      <c r="H23">
        <v>403</v>
      </c>
      <c r="I23">
        <f t="shared" si="0"/>
        <v>926</v>
      </c>
      <c r="J23" t="s">
        <v>109</v>
      </c>
      <c r="K23">
        <f>INDEX(D21:D32,MATCH(J23,B21:B32,0))</f>
        <v>244</v>
      </c>
    </row>
    <row r="24" spans="2:18" x14ac:dyDescent="0.25">
      <c r="B24" t="s">
        <v>108</v>
      </c>
      <c r="C24">
        <v>386</v>
      </c>
      <c r="D24">
        <v>347</v>
      </c>
      <c r="E24">
        <v>104</v>
      </c>
      <c r="F24">
        <v>745</v>
      </c>
      <c r="G24">
        <v>805</v>
      </c>
      <c r="H24">
        <v>139</v>
      </c>
      <c r="I24">
        <f t="shared" si="0"/>
        <v>805</v>
      </c>
      <c r="M24">
        <f>INDEX(C21:H32,5,2)</f>
        <v>244</v>
      </c>
    </row>
    <row r="25" spans="2:18" x14ac:dyDescent="0.25">
      <c r="B25" t="s">
        <v>109</v>
      </c>
      <c r="C25">
        <v>510</v>
      </c>
      <c r="D25">
        <v>244</v>
      </c>
      <c r="E25">
        <v>386</v>
      </c>
      <c r="F25">
        <v>570</v>
      </c>
      <c r="G25">
        <v>425</v>
      </c>
      <c r="H25">
        <v>924</v>
      </c>
      <c r="I25">
        <f t="shared" si="0"/>
        <v>924</v>
      </c>
      <c r="J25" t="s">
        <v>119</v>
      </c>
      <c r="K25">
        <f>INDEX(C25:H25,,MATCH(J25,C20:H20,0))</f>
        <v>570</v>
      </c>
    </row>
    <row r="26" spans="2:18" x14ac:dyDescent="0.25">
      <c r="B26" t="s">
        <v>110</v>
      </c>
      <c r="C26">
        <v>366</v>
      </c>
      <c r="D26">
        <v>304</v>
      </c>
      <c r="E26">
        <v>892</v>
      </c>
      <c r="F26">
        <v>712</v>
      </c>
      <c r="G26">
        <v>271</v>
      </c>
      <c r="H26">
        <v>341</v>
      </c>
      <c r="I26">
        <f t="shared" si="0"/>
        <v>892</v>
      </c>
    </row>
    <row r="27" spans="2:18" x14ac:dyDescent="0.25">
      <c r="B27" t="s">
        <v>111</v>
      </c>
      <c r="C27">
        <v>113</v>
      </c>
      <c r="D27">
        <v>387</v>
      </c>
      <c r="E27">
        <v>1000</v>
      </c>
      <c r="F27">
        <v>425</v>
      </c>
      <c r="G27">
        <v>151</v>
      </c>
      <c r="H27">
        <v>901</v>
      </c>
      <c r="I27">
        <f t="shared" si="0"/>
        <v>1000</v>
      </c>
      <c r="J27" t="s">
        <v>121</v>
      </c>
      <c r="M27">
        <f>INDEX(C21:C32,6)</f>
        <v>366</v>
      </c>
    </row>
    <row r="28" spans="2:18" x14ac:dyDescent="0.25">
      <c r="B28" t="s">
        <v>112</v>
      </c>
      <c r="C28">
        <v>673</v>
      </c>
      <c r="D28">
        <v>569</v>
      </c>
      <c r="E28">
        <v>786</v>
      </c>
      <c r="F28">
        <v>698</v>
      </c>
      <c r="G28">
        <v>968</v>
      </c>
      <c r="H28">
        <v>492</v>
      </c>
      <c r="I28">
        <f t="shared" si="0"/>
        <v>968</v>
      </c>
      <c r="J28" t="s">
        <v>113</v>
      </c>
      <c r="K28">
        <f>INDEX(C21:H32,MATCH(J28,B21:B32,0),MATCH(J27,C20:H20,0))</f>
        <v>297</v>
      </c>
      <c r="M28">
        <f>INDEX(C28:H28,,4)</f>
        <v>698</v>
      </c>
    </row>
    <row r="29" spans="2:18" x14ac:dyDescent="0.25">
      <c r="B29" t="s">
        <v>113</v>
      </c>
      <c r="C29">
        <v>933</v>
      </c>
      <c r="D29">
        <v>308</v>
      </c>
      <c r="E29">
        <v>653</v>
      </c>
      <c r="F29">
        <v>599</v>
      </c>
      <c r="G29">
        <v>924</v>
      </c>
      <c r="H29">
        <v>297</v>
      </c>
      <c r="I29">
        <f t="shared" si="0"/>
        <v>933</v>
      </c>
    </row>
    <row r="30" spans="2:18" x14ac:dyDescent="0.25">
      <c r="B30" t="s">
        <v>114</v>
      </c>
      <c r="C30">
        <v>781</v>
      </c>
      <c r="D30">
        <v>333</v>
      </c>
      <c r="E30">
        <v>256</v>
      </c>
      <c r="F30">
        <v>513</v>
      </c>
      <c r="G30">
        <v>214</v>
      </c>
      <c r="H30">
        <v>911</v>
      </c>
      <c r="I30">
        <f t="shared" si="0"/>
        <v>911</v>
      </c>
      <c r="J30" t="str">
        <f>INDEX(C20:H20,,MATCH(MAX(C21:H21),C21:H21,0))</f>
        <v>STORE 5</v>
      </c>
      <c r="N30">
        <f>INDEX(B20:H32,MATCH(B29,B20:B32,0),MATCH(C32,B32:H32,0))</f>
        <v>933</v>
      </c>
    </row>
    <row r="31" spans="2:18" x14ac:dyDescent="0.25">
      <c r="B31" t="s">
        <v>115</v>
      </c>
      <c r="C31">
        <v>380</v>
      </c>
      <c r="D31">
        <v>755</v>
      </c>
      <c r="E31">
        <v>679</v>
      </c>
      <c r="F31">
        <v>510</v>
      </c>
      <c r="G31">
        <v>416</v>
      </c>
      <c r="H31">
        <v>920</v>
      </c>
      <c r="I31">
        <f t="shared" si="0"/>
        <v>920</v>
      </c>
      <c r="L31">
        <f>INDEX(C21:H32,MATCH(B28,B21:B32,0),MATCH(D20,C20:H20,0))</f>
        <v>569</v>
      </c>
      <c r="N31" s="3">
        <f>INDEX(B20:H32,MATCH(B27,B20:B32,0),MATCH(D20,B20:H20,0))</f>
        <v>387</v>
      </c>
    </row>
    <row r="32" spans="2:18" x14ac:dyDescent="0.25">
      <c r="B32" t="s">
        <v>50</v>
      </c>
      <c r="C32">
        <v>158</v>
      </c>
      <c r="D32">
        <v>795</v>
      </c>
      <c r="E32">
        <v>951</v>
      </c>
      <c r="F32">
        <v>458</v>
      </c>
      <c r="G32">
        <v>292</v>
      </c>
      <c r="H32">
        <v>209</v>
      </c>
      <c r="I32">
        <f t="shared" si="0"/>
        <v>951</v>
      </c>
      <c r="K32">
        <f>INDEX(B20:H32,MATCH(B30,B20:B32,0),MATCH(D32,B32:H32,0))</f>
        <v>333</v>
      </c>
    </row>
  </sheetData>
  <mergeCells count="1">
    <mergeCell ref="J1:N2"/>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AD0B8-E3B3-45AE-BBF8-09A00920B90F}">
  <sheetPr codeName="Sheet16"/>
  <dimension ref="A1:Q17"/>
  <sheetViews>
    <sheetView workbookViewId="0">
      <selection activeCell="M28" sqref="M28"/>
    </sheetView>
  </sheetViews>
  <sheetFormatPr defaultRowHeight="15" x14ac:dyDescent="0.25"/>
  <sheetData>
    <row r="1" spans="1:17" x14ac:dyDescent="0.25">
      <c r="A1" t="s">
        <v>0</v>
      </c>
      <c r="B1" t="s">
        <v>116</v>
      </c>
      <c r="C1" t="s">
        <v>117</v>
      </c>
      <c r="D1" t="s">
        <v>118</v>
      </c>
      <c r="E1" t="s">
        <v>119</v>
      </c>
      <c r="F1" t="s">
        <v>120</v>
      </c>
      <c r="G1" t="s">
        <v>121</v>
      </c>
      <c r="H1">
        <f>MAX(INDEX(B2:G13,MATCH(H2,A2:A13,0),))</f>
        <v>926</v>
      </c>
      <c r="I1">
        <f>MAX(INDEX(B2:G13,,MATCH(I2,B1:G1,0)))</f>
        <v>933</v>
      </c>
      <c r="J1" t="e">
        <f>INDEX(B2:G13,MATCH(J2,A2:A13,0),)</f>
        <v>#VALUE!</v>
      </c>
      <c r="K1" t="e">
        <f>INDEX(B2:G13,,MATCH(K2,B1:G1,0))</f>
        <v>#VALUE!</v>
      </c>
    </row>
    <row r="2" spans="1:17" x14ac:dyDescent="0.25">
      <c r="A2" t="s">
        <v>46</v>
      </c>
      <c r="B2">
        <v>409</v>
      </c>
      <c r="C2">
        <v>529</v>
      </c>
      <c r="D2">
        <v>621</v>
      </c>
      <c r="E2">
        <v>574</v>
      </c>
      <c r="F2">
        <v>876</v>
      </c>
      <c r="G2">
        <v>495</v>
      </c>
      <c r="H2" t="s">
        <v>2</v>
      </c>
      <c r="I2" t="s">
        <v>116</v>
      </c>
      <c r="J2" t="s">
        <v>46</v>
      </c>
      <c r="K2" t="s">
        <v>116</v>
      </c>
    </row>
    <row r="3" spans="1:17" x14ac:dyDescent="0.25">
      <c r="A3" t="s">
        <v>66</v>
      </c>
      <c r="B3">
        <v>809</v>
      </c>
      <c r="C3">
        <v>988</v>
      </c>
      <c r="D3">
        <v>505</v>
      </c>
      <c r="E3">
        <v>314</v>
      </c>
      <c r="F3">
        <v>538</v>
      </c>
      <c r="G3">
        <v>927</v>
      </c>
    </row>
    <row r="4" spans="1:17" x14ac:dyDescent="0.25">
      <c r="A4" t="s">
        <v>2</v>
      </c>
      <c r="B4">
        <v>330</v>
      </c>
      <c r="C4">
        <v>582</v>
      </c>
      <c r="D4">
        <v>777</v>
      </c>
      <c r="E4">
        <v>926</v>
      </c>
      <c r="F4">
        <v>533</v>
      </c>
      <c r="G4">
        <v>403</v>
      </c>
      <c r="K4" t="str">
        <f>INDEX(A2:A13,MATCH(K5,E2:E13,0))</f>
        <v>JATIN</v>
      </c>
      <c r="M4">
        <f>INDEX(E2:E13,MATCH(M5,A2:A13,0),)</f>
        <v>574</v>
      </c>
      <c r="O4" t="str">
        <f>INDEX(B1:G1,,MATCH(O5,B3:G3,0))</f>
        <v>STORE 1</v>
      </c>
      <c r="Q4">
        <f>INDEX(B5:G5,,MATCH(Q5,B1:G1,0))</f>
        <v>386</v>
      </c>
    </row>
    <row r="5" spans="1:17" x14ac:dyDescent="0.25">
      <c r="A5" t="s">
        <v>108</v>
      </c>
      <c r="B5">
        <v>386</v>
      </c>
      <c r="C5">
        <v>347</v>
      </c>
      <c r="D5">
        <v>104</v>
      </c>
      <c r="E5">
        <v>745</v>
      </c>
      <c r="F5">
        <v>805</v>
      </c>
      <c r="G5">
        <v>139</v>
      </c>
      <c r="K5">
        <v>314</v>
      </c>
      <c r="M5" t="s">
        <v>46</v>
      </c>
      <c r="O5">
        <v>809</v>
      </c>
      <c r="Q5" t="s">
        <v>116</v>
      </c>
    </row>
    <row r="6" spans="1:17" x14ac:dyDescent="0.25">
      <c r="A6" t="s">
        <v>109</v>
      </c>
      <c r="B6">
        <v>510</v>
      </c>
      <c r="C6">
        <v>244</v>
      </c>
      <c r="D6">
        <v>386</v>
      </c>
      <c r="E6">
        <v>570</v>
      </c>
      <c r="F6">
        <v>425</v>
      </c>
      <c r="G6">
        <v>924</v>
      </c>
    </row>
    <row r="7" spans="1:17" x14ac:dyDescent="0.25">
      <c r="A7" t="s">
        <v>110</v>
      </c>
      <c r="B7">
        <v>366</v>
      </c>
      <c r="C7">
        <v>304</v>
      </c>
      <c r="D7">
        <v>892</v>
      </c>
      <c r="E7">
        <v>712</v>
      </c>
      <c r="F7">
        <v>271</v>
      </c>
      <c r="G7">
        <v>341</v>
      </c>
    </row>
    <row r="8" spans="1:17" x14ac:dyDescent="0.25">
      <c r="A8" t="s">
        <v>111</v>
      </c>
      <c r="B8">
        <v>113</v>
      </c>
      <c r="C8">
        <v>387</v>
      </c>
      <c r="D8">
        <v>1000</v>
      </c>
      <c r="E8">
        <v>425</v>
      </c>
      <c r="F8">
        <v>151</v>
      </c>
      <c r="G8">
        <v>901</v>
      </c>
    </row>
    <row r="9" spans="1:17" x14ac:dyDescent="0.25">
      <c r="A9" t="s">
        <v>112</v>
      </c>
      <c r="B9">
        <v>673</v>
      </c>
      <c r="C9">
        <v>569</v>
      </c>
      <c r="D9">
        <v>786</v>
      </c>
      <c r="E9">
        <v>698</v>
      </c>
      <c r="F9">
        <v>968</v>
      </c>
      <c r="G9">
        <v>492</v>
      </c>
    </row>
    <row r="10" spans="1:17" x14ac:dyDescent="0.25">
      <c r="A10" t="s">
        <v>113</v>
      </c>
      <c r="B10">
        <v>933</v>
      </c>
      <c r="C10">
        <v>308</v>
      </c>
      <c r="D10">
        <v>653</v>
      </c>
      <c r="E10">
        <v>599</v>
      </c>
      <c r="F10">
        <v>924</v>
      </c>
      <c r="G10">
        <v>297</v>
      </c>
    </row>
    <row r="11" spans="1:17" x14ac:dyDescent="0.25">
      <c r="A11" t="s">
        <v>114</v>
      </c>
      <c r="B11">
        <v>781</v>
      </c>
      <c r="C11">
        <v>333</v>
      </c>
      <c r="D11">
        <v>256</v>
      </c>
      <c r="E11">
        <v>513</v>
      </c>
      <c r="F11">
        <v>214</v>
      </c>
      <c r="G11">
        <v>911</v>
      </c>
    </row>
    <row r="12" spans="1:17" x14ac:dyDescent="0.25">
      <c r="A12" t="s">
        <v>115</v>
      </c>
      <c r="B12">
        <v>380</v>
      </c>
      <c r="C12">
        <v>755</v>
      </c>
      <c r="D12">
        <v>679</v>
      </c>
      <c r="E12">
        <v>510</v>
      </c>
      <c r="F12">
        <v>416</v>
      </c>
      <c r="G12">
        <v>920</v>
      </c>
    </row>
    <row r="13" spans="1:17" x14ac:dyDescent="0.25">
      <c r="A13" t="s">
        <v>50</v>
      </c>
      <c r="B13">
        <v>158</v>
      </c>
      <c r="C13">
        <v>795</v>
      </c>
      <c r="D13">
        <v>951</v>
      </c>
      <c r="E13">
        <v>458</v>
      </c>
      <c r="F13">
        <v>292</v>
      </c>
      <c r="G13">
        <v>209</v>
      </c>
    </row>
    <row r="14" spans="1:17" x14ac:dyDescent="0.25">
      <c r="K14" t="e">
        <f>INDEX(A2:A13,K15,)</f>
        <v>#REF!</v>
      </c>
      <c r="L14" t="e">
        <f>MATCH(L16,L15,0)</f>
        <v>#N/A</v>
      </c>
    </row>
    <row r="15" spans="1:17" x14ac:dyDescent="0.25">
      <c r="K15" t="e">
        <f>INDEX(B2:G13,MATCH(K17,B1:G1,0))</f>
        <v>#REF!</v>
      </c>
      <c r="L15" t="e">
        <f>INDEX(B2:G13,,MATCH(L17,B1:G1,0))</f>
        <v>#VALUE!</v>
      </c>
    </row>
    <row r="16" spans="1:17" x14ac:dyDescent="0.25">
      <c r="I16" t="str">
        <f>INDEX(B1:G1,,MATCH(MAX(INDEX(B2:G13,MATCH(I17,A2:A13,0),)),INDEX(B2:G13,MATCH(I17,A2:A13,0),)))</f>
        <v>STORE 5</v>
      </c>
      <c r="K16" t="str">
        <f>INDEX(A2:A13,MATCH(MAX(INDEX(B2:G13,,MATCH(K17,B1:G1,0))),INDEX(B2:G13,,MATCH(K17,B1:G1,0)),0),)</f>
        <v>VIPIN</v>
      </c>
      <c r="L16">
        <f>MAX(INDEX(B2:G13,,MATCH(L17,B1:G1,0)))</f>
        <v>926</v>
      </c>
    </row>
    <row r="17" spans="9:12" x14ac:dyDescent="0.25">
      <c r="I17" t="s">
        <v>108</v>
      </c>
      <c r="K17" t="s">
        <v>119</v>
      </c>
      <c r="L17" t="s">
        <v>119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987F5-4BD3-450B-9E65-735AC865D9E0}">
  <sheetPr codeName="Sheet17"/>
  <dimension ref="A1:J18"/>
  <sheetViews>
    <sheetView workbookViewId="0">
      <selection activeCell="M28" sqref="M28"/>
    </sheetView>
  </sheetViews>
  <sheetFormatPr defaultRowHeight="15" x14ac:dyDescent="0.25"/>
  <cols>
    <col min="1" max="1" width="18.42578125" bestFit="1" customWidth="1"/>
    <col min="8" max="8" width="18.42578125" bestFit="1" customWidth="1"/>
    <col min="9" max="9" width="18" bestFit="1" customWidth="1"/>
    <col min="10" max="10" width="18.42578125" bestFit="1" customWidth="1"/>
  </cols>
  <sheetData>
    <row r="1" spans="1:10" x14ac:dyDescent="0.25">
      <c r="H1" s="46" t="s">
        <v>129</v>
      </c>
      <c r="I1" s="46"/>
      <c r="J1" s="46"/>
    </row>
    <row r="2" spans="1:10" x14ac:dyDescent="0.25">
      <c r="H2" s="46"/>
      <c r="I2" s="46"/>
      <c r="J2" s="46"/>
    </row>
    <row r="3" spans="1:10" x14ac:dyDescent="0.25">
      <c r="H3" s="46"/>
      <c r="I3" s="46"/>
      <c r="J3" s="46"/>
    </row>
    <row r="4" spans="1:10" x14ac:dyDescent="0.25">
      <c r="A4" t="s">
        <v>0</v>
      </c>
      <c r="B4" t="s">
        <v>116</v>
      </c>
      <c r="C4" t="s">
        <v>117</v>
      </c>
      <c r="D4" t="s">
        <v>118</v>
      </c>
      <c r="E4" t="s">
        <v>119</v>
      </c>
      <c r="F4" t="s">
        <v>120</v>
      </c>
      <c r="G4" t="s">
        <v>121</v>
      </c>
      <c r="H4" s="4" t="s">
        <v>127</v>
      </c>
      <c r="I4" s="4" t="s">
        <v>128</v>
      </c>
    </row>
    <row r="5" spans="1:10" x14ac:dyDescent="0.25">
      <c r="A5" t="s">
        <v>46</v>
      </c>
      <c r="B5">
        <v>268</v>
      </c>
      <c r="C5">
        <v>280</v>
      </c>
      <c r="D5">
        <v>785</v>
      </c>
      <c r="E5">
        <v>862</v>
      </c>
      <c r="F5">
        <v>595</v>
      </c>
      <c r="G5">
        <v>297</v>
      </c>
      <c r="H5" t="str">
        <f>INDEX($B$4:$G$4,,MATCH(MAX(B5:G5),B5:G5,0))</f>
        <v>STORE 4</v>
      </c>
      <c r="I5" t="str">
        <f>INDEX($B$4:$G$4,,MATCH(MIN(B5:G5),B5:G5,0))</f>
        <v>STORE 1</v>
      </c>
    </row>
    <row r="6" spans="1:10" x14ac:dyDescent="0.25">
      <c r="A6" t="s">
        <v>66</v>
      </c>
      <c r="B6">
        <v>200</v>
      </c>
      <c r="C6">
        <v>589</v>
      </c>
      <c r="D6">
        <v>704</v>
      </c>
      <c r="E6">
        <v>273</v>
      </c>
      <c r="F6">
        <v>289</v>
      </c>
      <c r="G6">
        <v>851</v>
      </c>
      <c r="H6" t="str">
        <f t="shared" ref="H6:H16" si="0">INDEX($B$4:$G$4,,MATCH(MAX(B6:G6),B6:G6,0))</f>
        <v>STORE 6</v>
      </c>
      <c r="I6" t="str">
        <f t="shared" ref="I6:I16" si="1">INDEX($B$4:$G$4,,MATCH(MIN(B6:G6),B6:G6,0))</f>
        <v>STORE 1</v>
      </c>
    </row>
    <row r="7" spans="1:10" x14ac:dyDescent="0.25">
      <c r="A7" t="s">
        <v>2</v>
      </c>
      <c r="B7">
        <v>137</v>
      </c>
      <c r="C7">
        <v>559</v>
      </c>
      <c r="D7">
        <v>797</v>
      </c>
      <c r="E7">
        <v>782</v>
      </c>
      <c r="F7">
        <v>610</v>
      </c>
      <c r="G7">
        <v>967</v>
      </c>
      <c r="H7" t="str">
        <f>INDEX($B$4:$G$4,,MATCH(MAX(B7:G7),B7:G7,0))</f>
        <v>STORE 6</v>
      </c>
      <c r="I7" t="str">
        <f t="shared" si="1"/>
        <v>STORE 1</v>
      </c>
    </row>
    <row r="8" spans="1:10" x14ac:dyDescent="0.25">
      <c r="A8" t="s">
        <v>108</v>
      </c>
      <c r="B8">
        <v>471</v>
      </c>
      <c r="C8">
        <v>612</v>
      </c>
      <c r="D8">
        <v>820</v>
      </c>
      <c r="E8">
        <v>423</v>
      </c>
      <c r="F8">
        <v>366</v>
      </c>
      <c r="G8">
        <v>626</v>
      </c>
      <c r="H8" t="str">
        <f>INDEX($B$4:$G$4,,MATCH(MAX(B8:G8),B8:G8,0))</f>
        <v>STORE 3</v>
      </c>
      <c r="I8" t="str">
        <f t="shared" si="1"/>
        <v>STORE 5</v>
      </c>
    </row>
    <row r="9" spans="1:10" x14ac:dyDescent="0.25">
      <c r="A9" t="s">
        <v>109</v>
      </c>
      <c r="B9">
        <v>774</v>
      </c>
      <c r="C9">
        <v>547</v>
      </c>
      <c r="D9">
        <v>454</v>
      </c>
      <c r="E9">
        <v>970</v>
      </c>
      <c r="F9">
        <v>214</v>
      </c>
      <c r="G9">
        <v>840</v>
      </c>
      <c r="H9" t="str">
        <f t="shared" si="0"/>
        <v>STORE 4</v>
      </c>
      <c r="I9" t="str">
        <f t="shared" si="1"/>
        <v>STORE 5</v>
      </c>
    </row>
    <row r="10" spans="1:10" x14ac:dyDescent="0.25">
      <c r="A10" t="s">
        <v>110</v>
      </c>
      <c r="B10">
        <v>101</v>
      </c>
      <c r="C10">
        <v>190</v>
      </c>
      <c r="D10">
        <v>674</v>
      </c>
      <c r="E10">
        <v>627</v>
      </c>
      <c r="F10">
        <v>297</v>
      </c>
      <c r="G10">
        <v>878</v>
      </c>
      <c r="H10" t="str">
        <f t="shared" si="0"/>
        <v>STORE 6</v>
      </c>
      <c r="I10" t="str">
        <f t="shared" si="1"/>
        <v>STORE 1</v>
      </c>
    </row>
    <row r="11" spans="1:10" x14ac:dyDescent="0.25">
      <c r="A11" t="s">
        <v>111</v>
      </c>
      <c r="B11">
        <v>857</v>
      </c>
      <c r="C11">
        <v>400</v>
      </c>
      <c r="D11">
        <v>682</v>
      </c>
      <c r="E11">
        <v>113</v>
      </c>
      <c r="F11">
        <v>744</v>
      </c>
      <c r="G11">
        <v>957</v>
      </c>
      <c r="H11" t="str">
        <f t="shared" si="0"/>
        <v>STORE 6</v>
      </c>
      <c r="I11" t="str">
        <f t="shared" si="1"/>
        <v>STORE 4</v>
      </c>
    </row>
    <row r="12" spans="1:10" x14ac:dyDescent="0.25">
      <c r="A12" t="s">
        <v>112</v>
      </c>
      <c r="B12">
        <v>207</v>
      </c>
      <c r="C12">
        <v>664</v>
      </c>
      <c r="D12">
        <v>705</v>
      </c>
      <c r="E12">
        <v>396</v>
      </c>
      <c r="F12">
        <v>899</v>
      </c>
      <c r="G12">
        <v>126</v>
      </c>
      <c r="H12" t="str">
        <f t="shared" si="0"/>
        <v>STORE 5</v>
      </c>
      <c r="I12" t="str">
        <f t="shared" si="1"/>
        <v>STORE 6</v>
      </c>
    </row>
    <row r="13" spans="1:10" x14ac:dyDescent="0.25">
      <c r="A13" t="s">
        <v>113</v>
      </c>
      <c r="B13">
        <v>320</v>
      </c>
      <c r="C13">
        <v>756</v>
      </c>
      <c r="D13">
        <v>448</v>
      </c>
      <c r="E13">
        <v>882</v>
      </c>
      <c r="F13">
        <v>765</v>
      </c>
      <c r="G13">
        <v>290</v>
      </c>
      <c r="H13" t="str">
        <f t="shared" si="0"/>
        <v>STORE 4</v>
      </c>
      <c r="I13" t="str">
        <f t="shared" si="1"/>
        <v>STORE 6</v>
      </c>
    </row>
    <row r="14" spans="1:10" x14ac:dyDescent="0.25">
      <c r="A14" t="s">
        <v>114</v>
      </c>
      <c r="B14">
        <v>711</v>
      </c>
      <c r="C14">
        <v>344</v>
      </c>
      <c r="D14">
        <v>776</v>
      </c>
      <c r="E14">
        <v>979</v>
      </c>
      <c r="F14">
        <v>257</v>
      </c>
      <c r="G14">
        <v>135</v>
      </c>
      <c r="H14" t="str">
        <f t="shared" si="0"/>
        <v>STORE 4</v>
      </c>
      <c r="I14" t="str">
        <f t="shared" si="1"/>
        <v>STORE 6</v>
      </c>
    </row>
    <row r="15" spans="1:10" x14ac:dyDescent="0.25">
      <c r="A15" t="s">
        <v>115</v>
      </c>
      <c r="B15">
        <v>636</v>
      </c>
      <c r="C15">
        <v>741</v>
      </c>
      <c r="D15">
        <v>125</v>
      </c>
      <c r="E15">
        <v>681</v>
      </c>
      <c r="F15">
        <v>466</v>
      </c>
      <c r="G15">
        <v>188</v>
      </c>
      <c r="H15" t="str">
        <f t="shared" si="0"/>
        <v>STORE 2</v>
      </c>
      <c r="I15" t="str">
        <f t="shared" si="1"/>
        <v>STORE 3</v>
      </c>
    </row>
    <row r="16" spans="1:10" x14ac:dyDescent="0.25">
      <c r="A16" t="s">
        <v>50</v>
      </c>
      <c r="B16">
        <v>953</v>
      </c>
      <c r="C16">
        <v>368</v>
      </c>
      <c r="D16">
        <v>448</v>
      </c>
      <c r="E16">
        <v>349</v>
      </c>
      <c r="F16">
        <v>290</v>
      </c>
      <c r="G16">
        <v>148</v>
      </c>
      <c r="H16" t="str">
        <f t="shared" si="0"/>
        <v>STORE 1</v>
      </c>
      <c r="I16" t="str">
        <f t="shared" si="1"/>
        <v>STORE 6</v>
      </c>
    </row>
    <row r="17" spans="1:7" x14ac:dyDescent="0.25">
      <c r="A17" s="4" t="s">
        <v>127</v>
      </c>
      <c r="B17" t="str">
        <f>INDEX($A$5:$A$16,MATCH(MAX(B5:B16),B5:B16,0))</f>
        <v>VINAY</v>
      </c>
      <c r="C17" t="str">
        <f>INDEX($A$5:$A$16,MATCH(MAX(C5:C16),C5:C16,0))</f>
        <v>HARI</v>
      </c>
      <c r="D17" t="str">
        <f t="shared" ref="D17:G17" si="2">INDEX($A$5:$A$16,MATCH(MAX(D5:D16),D5:D16,0))</f>
        <v>KARAN</v>
      </c>
      <c r="E17" t="str">
        <f t="shared" si="2"/>
        <v>PRINCE</v>
      </c>
      <c r="F17" t="str">
        <f t="shared" si="2"/>
        <v>DINESH</v>
      </c>
      <c r="G17" t="str">
        <f t="shared" si="2"/>
        <v>VIPIN</v>
      </c>
    </row>
    <row r="18" spans="1:7" x14ac:dyDescent="0.25">
      <c r="A18" s="4" t="s">
        <v>128</v>
      </c>
      <c r="B18" s="2" t="str">
        <f>INDEX($A$5:$A$16,MATCH(MIN(B5:B16),B5:B16,0))</f>
        <v>ARUN</v>
      </c>
      <c r="C18" t="str">
        <f t="shared" ref="C18:G18" si="3">INDEX($A$5:$A$16,MATCH(MIN(C5:C16),C5:C16,0))</f>
        <v>ARUN</v>
      </c>
      <c r="D18" t="str">
        <f t="shared" si="3"/>
        <v>VIVEK</v>
      </c>
      <c r="E18" t="str">
        <f t="shared" si="3"/>
        <v xml:space="preserve">RAMESH </v>
      </c>
      <c r="F18" t="str">
        <f t="shared" si="3"/>
        <v>VARUN</v>
      </c>
      <c r="G18" t="str">
        <f t="shared" si="3"/>
        <v>DINESH</v>
      </c>
    </row>
  </sheetData>
  <mergeCells count="1">
    <mergeCell ref="H1:J3"/>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40454E-AF0D-4D11-A01A-16B335FA84DA}">
  <sheetPr codeName="Sheet18"/>
  <dimension ref="A1:N19"/>
  <sheetViews>
    <sheetView zoomScaleNormal="100" workbookViewId="0">
      <selection activeCell="M28" sqref="M28"/>
    </sheetView>
  </sheetViews>
  <sheetFormatPr defaultRowHeight="15" x14ac:dyDescent="0.25"/>
  <cols>
    <col min="1" max="1" width="10" bestFit="1" customWidth="1"/>
    <col min="2" max="7" width="8" bestFit="1" customWidth="1"/>
    <col min="8" max="8" width="11.140625" bestFit="1" customWidth="1"/>
    <col min="9" max="9" width="56.7109375" bestFit="1" customWidth="1"/>
  </cols>
  <sheetData>
    <row r="1" spans="1:14" x14ac:dyDescent="0.25">
      <c r="I1" s="47" t="s">
        <v>141</v>
      </c>
    </row>
    <row r="2" spans="1:14" x14ac:dyDescent="0.25">
      <c r="I2" s="47"/>
    </row>
    <row r="3" spans="1:14" x14ac:dyDescent="0.25">
      <c r="I3" s="47"/>
    </row>
    <row r="4" spans="1:14" x14ac:dyDescent="0.25">
      <c r="A4" t="s">
        <v>0</v>
      </c>
      <c r="B4" t="s">
        <v>116</v>
      </c>
      <c r="C4" t="s">
        <v>117</v>
      </c>
      <c r="D4" t="s">
        <v>118</v>
      </c>
      <c r="E4" t="s">
        <v>119</v>
      </c>
      <c r="F4" t="s">
        <v>120</v>
      </c>
      <c r="G4" t="s">
        <v>121</v>
      </c>
      <c r="I4" t="s">
        <v>142</v>
      </c>
    </row>
    <row r="5" spans="1:14" x14ac:dyDescent="0.25">
      <c r="A5" t="s">
        <v>130</v>
      </c>
      <c r="B5">
        <v>361</v>
      </c>
      <c r="C5">
        <v>123</v>
      </c>
      <c r="D5">
        <v>943</v>
      </c>
      <c r="E5">
        <v>631</v>
      </c>
      <c r="F5">
        <v>769</v>
      </c>
      <c r="G5">
        <v>368</v>
      </c>
      <c r="H5" t="str">
        <f>INDEX(B4:G4,,MATCH(MAX(B5:G5),B5:G5,0))</f>
        <v>STORE 3</v>
      </c>
      <c r="I5" t="str">
        <f>INDEX(B4:G4,,MATCH(MAX(INDEX(B5:G17,MATCH(J5,A5:A17,0),)),B5:G5,0))</f>
        <v>STORE 3</v>
      </c>
      <c r="J5" t="s">
        <v>130</v>
      </c>
    </row>
    <row r="6" spans="1:14" x14ac:dyDescent="0.25">
      <c r="A6" t="s">
        <v>131</v>
      </c>
      <c r="B6">
        <v>580</v>
      </c>
      <c r="C6">
        <v>679</v>
      </c>
      <c r="D6">
        <v>861</v>
      </c>
      <c r="E6">
        <v>288</v>
      </c>
      <c r="F6">
        <v>516</v>
      </c>
      <c r="G6">
        <v>122</v>
      </c>
      <c r="I6">
        <f>MAX(INDEX(B5:G17,,MATCH(J6,B4:G4,0)))</f>
        <v>957</v>
      </c>
      <c r="J6" t="s">
        <v>117</v>
      </c>
      <c r="K6" t="s">
        <v>132</v>
      </c>
      <c r="L6">
        <f>MATCH(MAX(INDEX(B5:G17,MATCH(K6,A5:A17,0),)),INDEX(B5:G17,MATCH(K6,A5:A17,0),),0)</f>
        <v>1</v>
      </c>
      <c r="N6" t="e">
        <f>VLOOKUP(M6,A4:G17,MATCH(M7,A4:A17,0),0)</f>
        <v>#N/A</v>
      </c>
    </row>
    <row r="7" spans="1:14" x14ac:dyDescent="0.25">
      <c r="A7" t="s">
        <v>132</v>
      </c>
      <c r="B7">
        <v>906</v>
      </c>
      <c r="C7">
        <v>768</v>
      </c>
      <c r="D7">
        <v>446</v>
      </c>
      <c r="E7">
        <v>495</v>
      </c>
      <c r="F7">
        <v>786</v>
      </c>
      <c r="G7">
        <v>603</v>
      </c>
      <c r="I7">
        <f>MAX(INDEX(B5:G17,MATCH(J7,A5:A17,0),))</f>
        <v>943</v>
      </c>
      <c r="J7" t="s">
        <v>130</v>
      </c>
      <c r="M7" t="s">
        <v>130</v>
      </c>
    </row>
    <row r="8" spans="1:14" x14ac:dyDescent="0.25">
      <c r="A8" t="s">
        <v>133</v>
      </c>
      <c r="B8">
        <v>825</v>
      </c>
      <c r="C8">
        <v>276</v>
      </c>
      <c r="D8">
        <v>810</v>
      </c>
      <c r="E8">
        <v>414</v>
      </c>
      <c r="F8">
        <v>466</v>
      </c>
      <c r="G8">
        <v>148</v>
      </c>
      <c r="I8" t="str">
        <f>INDEX(B4:G4,,MATCH(MAX(B5:G5),B5:G5,0))</f>
        <v>STORE 3</v>
      </c>
      <c r="J8" t="s">
        <v>130</v>
      </c>
    </row>
    <row r="9" spans="1:14" x14ac:dyDescent="0.25">
      <c r="A9" t="s">
        <v>134</v>
      </c>
      <c r="B9">
        <v>405</v>
      </c>
      <c r="C9">
        <v>484</v>
      </c>
      <c r="D9">
        <v>557</v>
      </c>
      <c r="E9">
        <v>627</v>
      </c>
      <c r="F9">
        <v>381</v>
      </c>
      <c r="G9">
        <v>968</v>
      </c>
    </row>
    <row r="10" spans="1:14" x14ac:dyDescent="0.25">
      <c r="A10" t="s">
        <v>135</v>
      </c>
      <c r="B10">
        <v>658</v>
      </c>
      <c r="C10">
        <v>265</v>
      </c>
      <c r="D10">
        <v>559</v>
      </c>
      <c r="E10">
        <v>491</v>
      </c>
      <c r="F10">
        <v>515</v>
      </c>
      <c r="G10">
        <v>423</v>
      </c>
    </row>
    <row r="11" spans="1:14" x14ac:dyDescent="0.25">
      <c r="A11" t="s">
        <v>136</v>
      </c>
      <c r="B11">
        <v>250</v>
      </c>
      <c r="C11">
        <v>576</v>
      </c>
      <c r="D11">
        <v>740</v>
      </c>
      <c r="E11">
        <v>415</v>
      </c>
      <c r="F11">
        <v>425</v>
      </c>
      <c r="G11">
        <v>151</v>
      </c>
      <c r="K11" t="s">
        <v>134</v>
      </c>
      <c r="L11">
        <f>MAX(INDEX(B5:G17,MATCH(K11,A5:A17,0),))</f>
        <v>968</v>
      </c>
    </row>
    <row r="12" spans="1:14" x14ac:dyDescent="0.25">
      <c r="A12" t="s">
        <v>137</v>
      </c>
      <c r="B12">
        <v>456</v>
      </c>
      <c r="C12">
        <v>957</v>
      </c>
      <c r="D12">
        <v>554</v>
      </c>
      <c r="E12">
        <v>806</v>
      </c>
      <c r="F12">
        <v>287</v>
      </c>
      <c r="G12">
        <v>627</v>
      </c>
    </row>
    <row r="13" spans="1:14" x14ac:dyDescent="0.25">
      <c r="A13" t="s">
        <v>112</v>
      </c>
      <c r="B13">
        <v>985</v>
      </c>
      <c r="C13">
        <v>819</v>
      </c>
      <c r="D13">
        <v>885</v>
      </c>
      <c r="E13">
        <v>192</v>
      </c>
      <c r="F13">
        <v>708</v>
      </c>
      <c r="G13">
        <v>903</v>
      </c>
    </row>
    <row r="14" spans="1:14" x14ac:dyDescent="0.25">
      <c r="A14" t="s">
        <v>138</v>
      </c>
      <c r="B14">
        <v>855</v>
      </c>
      <c r="C14">
        <v>261</v>
      </c>
      <c r="D14">
        <v>317</v>
      </c>
      <c r="E14">
        <v>538</v>
      </c>
      <c r="F14">
        <v>215</v>
      </c>
      <c r="G14">
        <v>483</v>
      </c>
      <c r="I14" t="s">
        <v>133</v>
      </c>
      <c r="J14" t="str">
        <f>INDEX(B4:G4,,MATCH(MAX(B5:G5),B5:G5,0))</f>
        <v>STORE 3</v>
      </c>
      <c r="L14" t="s">
        <v>135</v>
      </c>
      <c r="M14" t="str">
        <f>INDEX(B4:G4,,MATCH(MAX(INDEX(B5:G17,MATCH(L14,A5:A17,0),)),INDEX(B5:G17,MATCH(L14,A5:A17,0),),0))</f>
        <v>STORE 1</v>
      </c>
    </row>
    <row r="15" spans="1:14" x14ac:dyDescent="0.25">
      <c r="A15" t="s">
        <v>139</v>
      </c>
      <c r="B15">
        <v>705</v>
      </c>
      <c r="C15">
        <v>318</v>
      </c>
      <c r="D15">
        <v>675</v>
      </c>
      <c r="E15">
        <v>454</v>
      </c>
      <c r="F15">
        <v>175</v>
      </c>
      <c r="G15">
        <v>603</v>
      </c>
      <c r="L15" t="s">
        <v>131</v>
      </c>
      <c r="M15" t="str">
        <f>INDEX(B4:G4,,MATCH(MAX(INDEX(B5:G17,MATCH(L15,A5:A17,0),)),INDEX(B5:G17,MATCH(L15,A5:A17,0),),0))</f>
        <v>STORE 3</v>
      </c>
    </row>
    <row r="16" spans="1:14" x14ac:dyDescent="0.25">
      <c r="A16" t="s">
        <v>140</v>
      </c>
      <c r="B16">
        <v>378</v>
      </c>
      <c r="C16">
        <v>899</v>
      </c>
      <c r="D16">
        <v>176</v>
      </c>
      <c r="E16">
        <v>848</v>
      </c>
      <c r="F16">
        <v>989</v>
      </c>
      <c r="G16">
        <v>319</v>
      </c>
      <c r="L16" t="s">
        <v>135</v>
      </c>
      <c r="M16" t="str">
        <f>INDEX(B4:G4,,MATCH(MAX(INDEX(B5:G17,MATCH(L16,A5:A17,0),)),INDEX(B5:G17,MATCH(L16,A5:A17,0),),))</f>
        <v>STORE 1</v>
      </c>
    </row>
    <row r="17" spans="1:13" x14ac:dyDescent="0.25">
      <c r="A17" t="s">
        <v>65</v>
      </c>
      <c r="B17">
        <v>419</v>
      </c>
      <c r="C17">
        <v>126</v>
      </c>
      <c r="D17">
        <v>184</v>
      </c>
      <c r="E17">
        <v>627</v>
      </c>
      <c r="F17">
        <v>815</v>
      </c>
      <c r="G17">
        <v>959</v>
      </c>
      <c r="K17" t="s">
        <v>130</v>
      </c>
      <c r="L17">
        <f>MATCH(MAX(INDEX(B5:G17,MATCH(K17,A5:A17,0),)),INDEX(B5:G17,MATCH(K17,A5:A17,0),),0)</f>
        <v>3</v>
      </c>
    </row>
    <row r="18" spans="1:13" x14ac:dyDescent="0.25">
      <c r="L18" t="s">
        <v>135</v>
      </c>
      <c r="M18" t="str">
        <f>INDEX(B4:G4,,MATCH(MAX(INDEX(B5:G17,MATCH(L18,A5:A17,0),)),INDEX(B5:G17,MATCH(L18,A5:A17,0),),0))</f>
        <v>STORE 1</v>
      </c>
    </row>
    <row r="19" spans="1:13" x14ac:dyDescent="0.25">
      <c r="L19" t="s">
        <v>135</v>
      </c>
      <c r="M19" t="str">
        <f>INDEX(B4:G4,,MATCH(MAX(INDEX(B5:G17,MATCH(L19,A5:A17,0),)),INDEX(B5:G17,MATCH(L19,A5:A17,0),),0))</f>
        <v>STORE 1</v>
      </c>
    </row>
  </sheetData>
  <mergeCells count="1">
    <mergeCell ref="I1:I3"/>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E2A8C-44D9-46EE-B524-AF6FCA2845DE}">
  <sheetPr codeName="Sheet19"/>
  <dimension ref="A1:L16"/>
  <sheetViews>
    <sheetView workbookViewId="0">
      <selection activeCell="M28" sqref="M28"/>
    </sheetView>
  </sheetViews>
  <sheetFormatPr defaultRowHeight="15" x14ac:dyDescent="0.25"/>
  <sheetData>
    <row r="1" spans="1:12" x14ac:dyDescent="0.25">
      <c r="H1" s="48" t="s">
        <v>147</v>
      </c>
      <c r="I1" s="48"/>
      <c r="J1" s="48"/>
      <c r="K1" s="48"/>
      <c r="L1" s="48"/>
    </row>
    <row r="2" spans="1:12" x14ac:dyDescent="0.25">
      <c r="H2" s="48"/>
      <c r="I2" s="48"/>
      <c r="J2" s="48"/>
      <c r="K2" s="48"/>
      <c r="L2" s="48"/>
    </row>
    <row r="3" spans="1:12" x14ac:dyDescent="0.25">
      <c r="H3" s="48"/>
      <c r="I3" s="48"/>
      <c r="J3" s="48"/>
      <c r="K3" s="48"/>
      <c r="L3" s="48"/>
    </row>
    <row r="5" spans="1:12" x14ac:dyDescent="0.25">
      <c r="A5" t="s">
        <v>143</v>
      </c>
      <c r="B5">
        <v>0</v>
      </c>
      <c r="C5">
        <v>5</v>
      </c>
      <c r="D5">
        <f>MATCH(E5,B5:B9,1)</f>
        <v>4</v>
      </c>
      <c r="E5">
        <v>350</v>
      </c>
    </row>
    <row r="6" spans="1:12" x14ac:dyDescent="0.25">
      <c r="A6" t="s">
        <v>144</v>
      </c>
      <c r="B6">
        <v>100</v>
      </c>
      <c r="C6">
        <v>10</v>
      </c>
    </row>
    <row r="7" spans="1:12" x14ac:dyDescent="0.25">
      <c r="A7" t="s">
        <v>145</v>
      </c>
      <c r="B7">
        <v>200</v>
      </c>
      <c r="C7">
        <v>15</v>
      </c>
    </row>
    <row r="8" spans="1:12" x14ac:dyDescent="0.25">
      <c r="A8" t="s">
        <v>146</v>
      </c>
      <c r="B8">
        <v>300</v>
      </c>
      <c r="C8">
        <v>20</v>
      </c>
    </row>
    <row r="9" spans="1:12" x14ac:dyDescent="0.25">
      <c r="A9" t="s">
        <v>148</v>
      </c>
      <c r="B9">
        <v>400</v>
      </c>
      <c r="C9">
        <v>25</v>
      </c>
    </row>
    <row r="12" spans="1:12" x14ac:dyDescent="0.25">
      <c r="A12" t="s">
        <v>149</v>
      </c>
      <c r="B12">
        <v>500</v>
      </c>
      <c r="C12">
        <v>25</v>
      </c>
      <c r="D12">
        <f>MATCH(E12,B12:B16,-1)</f>
        <v>2</v>
      </c>
      <c r="E12">
        <v>350</v>
      </c>
    </row>
    <row r="13" spans="1:12" x14ac:dyDescent="0.25">
      <c r="A13" t="s">
        <v>150</v>
      </c>
      <c r="B13">
        <v>400</v>
      </c>
      <c r="C13">
        <v>20</v>
      </c>
    </row>
    <row r="14" spans="1:12" x14ac:dyDescent="0.25">
      <c r="A14" t="s">
        <v>151</v>
      </c>
      <c r="B14">
        <v>300</v>
      </c>
      <c r="C14">
        <v>15</v>
      </c>
    </row>
    <row r="15" spans="1:12" x14ac:dyDescent="0.25">
      <c r="A15" t="s">
        <v>152</v>
      </c>
      <c r="B15">
        <v>200</v>
      </c>
      <c r="C15">
        <v>10</v>
      </c>
    </row>
    <row r="16" spans="1:12" x14ac:dyDescent="0.25">
      <c r="A16" t="s">
        <v>153</v>
      </c>
      <c r="B16">
        <v>100</v>
      </c>
      <c r="C16">
        <v>5</v>
      </c>
    </row>
  </sheetData>
  <mergeCells count="1">
    <mergeCell ref="H1:L3"/>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B98A3A-057B-4198-A3CC-C0BA02C422AC}">
  <sheetPr codeName="Sheet20"/>
  <dimension ref="A1:W104"/>
  <sheetViews>
    <sheetView zoomScale="85" zoomScaleNormal="85" workbookViewId="0">
      <selection activeCell="M28" sqref="M28"/>
    </sheetView>
  </sheetViews>
  <sheetFormatPr defaultRowHeight="15" x14ac:dyDescent="0.25"/>
  <cols>
    <col min="2" max="2" width="10.42578125" bestFit="1" customWidth="1"/>
    <col min="3" max="4" width="15.5703125" bestFit="1" customWidth="1"/>
    <col min="5" max="5" width="9.7109375" bestFit="1" customWidth="1"/>
    <col min="6" max="6" width="17.7109375" bestFit="1" customWidth="1"/>
    <col min="10" max="10" width="10.7109375" bestFit="1" customWidth="1"/>
    <col min="11" max="11" width="10" customWidth="1"/>
    <col min="12" max="12" width="8.85546875" bestFit="1" customWidth="1"/>
    <col min="13" max="13" width="10.7109375" bestFit="1" customWidth="1"/>
    <col min="14" max="14" width="9.7109375" customWidth="1"/>
    <col min="21" max="21" width="11.5703125" bestFit="1" customWidth="1"/>
    <col min="22" max="22" width="10.42578125" bestFit="1" customWidth="1"/>
    <col min="23" max="23" width="12" bestFit="1" customWidth="1"/>
    <col min="29" max="29" width="16.42578125" bestFit="1" customWidth="1"/>
    <col min="31" max="31" width="17.28515625" bestFit="1" customWidth="1"/>
  </cols>
  <sheetData>
    <row r="1" spans="1:14" x14ac:dyDescent="0.25">
      <c r="A1" s="6" t="s">
        <v>162</v>
      </c>
      <c r="B1" s="6"/>
    </row>
    <row r="2" spans="1:14" x14ac:dyDescent="0.25">
      <c r="A2" t="s">
        <v>154</v>
      </c>
      <c r="B2" t="s">
        <v>161</v>
      </c>
    </row>
    <row r="3" spans="1:14" x14ac:dyDescent="0.25">
      <c r="A3" t="s">
        <v>155</v>
      </c>
      <c r="B3">
        <v>200</v>
      </c>
      <c r="C3">
        <v>0</v>
      </c>
    </row>
    <row r="4" spans="1:14" x14ac:dyDescent="0.25">
      <c r="A4" t="s">
        <v>156</v>
      </c>
      <c r="B4">
        <v>190</v>
      </c>
      <c r="C4">
        <v>500</v>
      </c>
      <c r="E4">
        <v>550</v>
      </c>
      <c r="F4">
        <f>INDEX(B3:B8,MATCH(E4,C3:C8,1))</f>
        <v>190</v>
      </c>
    </row>
    <row r="5" spans="1:14" x14ac:dyDescent="0.25">
      <c r="A5" t="s">
        <v>157</v>
      </c>
      <c r="B5">
        <v>180</v>
      </c>
      <c r="C5">
        <v>1000</v>
      </c>
    </row>
    <row r="6" spans="1:14" x14ac:dyDescent="0.25">
      <c r="A6" t="s">
        <v>158</v>
      </c>
      <c r="B6">
        <v>170</v>
      </c>
      <c r="C6">
        <v>2000</v>
      </c>
    </row>
    <row r="7" spans="1:14" x14ac:dyDescent="0.25">
      <c r="A7" t="s">
        <v>159</v>
      </c>
      <c r="B7">
        <v>160</v>
      </c>
      <c r="C7">
        <v>3000</v>
      </c>
    </row>
    <row r="8" spans="1:14" x14ac:dyDescent="0.25">
      <c r="A8" t="s">
        <v>160</v>
      </c>
      <c r="B8">
        <v>150</v>
      </c>
      <c r="C8">
        <v>4000</v>
      </c>
    </row>
    <row r="11" spans="1:14" x14ac:dyDescent="0.25">
      <c r="A11" s="44" t="s">
        <v>167</v>
      </c>
      <c r="B11" s="44"/>
      <c r="C11" s="44"/>
    </row>
    <row r="12" spans="1:14" x14ac:dyDescent="0.25">
      <c r="A12" t="s">
        <v>154</v>
      </c>
      <c r="B12" t="s">
        <v>163</v>
      </c>
      <c r="C12" t="s">
        <v>161</v>
      </c>
      <c r="K12" t="s">
        <v>169</v>
      </c>
      <c r="L12" t="s">
        <v>170</v>
      </c>
      <c r="M12" t="s">
        <v>168</v>
      </c>
      <c r="N12" t="s">
        <v>202</v>
      </c>
    </row>
    <row r="13" spans="1:14" x14ac:dyDescent="0.25">
      <c r="A13" t="s">
        <v>155</v>
      </c>
      <c r="B13" t="s">
        <v>164</v>
      </c>
      <c r="C13">
        <v>200</v>
      </c>
      <c r="D13">
        <v>0</v>
      </c>
      <c r="K13">
        <v>0</v>
      </c>
      <c r="L13">
        <v>200</v>
      </c>
      <c r="M13">
        <v>220</v>
      </c>
      <c r="N13">
        <v>240</v>
      </c>
    </row>
    <row r="14" spans="1:14" x14ac:dyDescent="0.25">
      <c r="A14" t="s">
        <v>156</v>
      </c>
      <c r="B14" t="s">
        <v>164</v>
      </c>
      <c r="C14">
        <v>190</v>
      </c>
      <c r="D14">
        <v>500</v>
      </c>
      <c r="K14">
        <v>500</v>
      </c>
      <c r="L14">
        <v>190</v>
      </c>
      <c r="M14">
        <v>210</v>
      </c>
      <c r="N14">
        <v>230</v>
      </c>
    </row>
    <row r="15" spans="1:14" x14ac:dyDescent="0.25">
      <c r="A15" t="s">
        <v>157</v>
      </c>
      <c r="B15" t="s">
        <v>164</v>
      </c>
      <c r="C15">
        <v>180</v>
      </c>
      <c r="D15">
        <v>1000</v>
      </c>
      <c r="E15">
        <v>1200</v>
      </c>
      <c r="K15">
        <v>1000</v>
      </c>
      <c r="L15">
        <v>180</v>
      </c>
      <c r="M15">
        <v>200</v>
      </c>
      <c r="N15">
        <v>220</v>
      </c>
    </row>
    <row r="16" spans="1:14" x14ac:dyDescent="0.25">
      <c r="A16" t="s">
        <v>158</v>
      </c>
      <c r="B16" t="s">
        <v>164</v>
      </c>
      <c r="C16">
        <v>170</v>
      </c>
      <c r="D16">
        <v>2000</v>
      </c>
      <c r="E16" t="s">
        <v>166</v>
      </c>
      <c r="K16">
        <v>2000</v>
      </c>
      <c r="L16">
        <v>170</v>
      </c>
      <c r="M16">
        <v>190</v>
      </c>
      <c r="N16">
        <v>210</v>
      </c>
    </row>
    <row r="17" spans="1:14" x14ac:dyDescent="0.25">
      <c r="A17" t="s">
        <v>159</v>
      </c>
      <c r="B17" t="s">
        <v>164</v>
      </c>
      <c r="C17">
        <v>160</v>
      </c>
      <c r="D17">
        <v>3000</v>
      </c>
      <c r="K17">
        <v>3000</v>
      </c>
      <c r="L17">
        <v>160</v>
      </c>
      <c r="M17">
        <v>180</v>
      </c>
      <c r="N17">
        <v>200</v>
      </c>
    </row>
    <row r="18" spans="1:14" x14ac:dyDescent="0.25">
      <c r="A18" t="s">
        <v>160</v>
      </c>
      <c r="B18" t="s">
        <v>164</v>
      </c>
      <c r="C18">
        <v>150</v>
      </c>
      <c r="D18">
        <v>4000</v>
      </c>
      <c r="K18">
        <v>4000</v>
      </c>
      <c r="L18">
        <v>150</v>
      </c>
      <c r="M18">
        <v>170</v>
      </c>
      <c r="N18">
        <v>190</v>
      </c>
    </row>
    <row r="19" spans="1:14" x14ac:dyDescent="0.25">
      <c r="A19" t="s">
        <v>155</v>
      </c>
      <c r="B19" t="s">
        <v>165</v>
      </c>
      <c r="C19">
        <v>220</v>
      </c>
      <c r="D19">
        <v>0</v>
      </c>
      <c r="J19" t="s">
        <v>168</v>
      </c>
    </row>
    <row r="20" spans="1:14" x14ac:dyDescent="0.25">
      <c r="A20" t="s">
        <v>156</v>
      </c>
      <c r="B20" t="s">
        <v>165</v>
      </c>
      <c r="C20">
        <v>210</v>
      </c>
      <c r="D20">
        <v>500</v>
      </c>
      <c r="J20">
        <v>300</v>
      </c>
      <c r="K20">
        <f>INDEX(L13:N18,MATCH(J20,K13:K18,1),MATCH(J19,L12:N12,0))</f>
        <v>220</v>
      </c>
    </row>
    <row r="21" spans="1:14" x14ac:dyDescent="0.25">
      <c r="A21" t="s">
        <v>157</v>
      </c>
      <c r="B21" t="s">
        <v>165</v>
      </c>
      <c r="C21">
        <v>200</v>
      </c>
      <c r="D21">
        <v>1000</v>
      </c>
    </row>
    <row r="22" spans="1:14" x14ac:dyDescent="0.25">
      <c r="A22" t="s">
        <v>158</v>
      </c>
      <c r="B22" t="s">
        <v>165</v>
      </c>
      <c r="C22">
        <v>190</v>
      </c>
      <c r="D22">
        <v>2000</v>
      </c>
    </row>
    <row r="23" spans="1:14" x14ac:dyDescent="0.25">
      <c r="A23" t="s">
        <v>159</v>
      </c>
      <c r="B23" t="s">
        <v>165</v>
      </c>
      <c r="C23">
        <v>180</v>
      </c>
      <c r="D23">
        <v>3000</v>
      </c>
    </row>
    <row r="24" spans="1:14" x14ac:dyDescent="0.25">
      <c r="A24" t="s">
        <v>160</v>
      </c>
      <c r="B24" t="s">
        <v>165</v>
      </c>
      <c r="C24">
        <v>170</v>
      </c>
      <c r="D24">
        <v>4000</v>
      </c>
    </row>
    <row r="25" spans="1:14" x14ac:dyDescent="0.25">
      <c r="A25" t="s">
        <v>155</v>
      </c>
      <c r="B25" t="s">
        <v>202</v>
      </c>
      <c r="C25">
        <v>240</v>
      </c>
      <c r="D25">
        <v>0</v>
      </c>
    </row>
    <row r="26" spans="1:14" x14ac:dyDescent="0.25">
      <c r="A26" t="s">
        <v>156</v>
      </c>
      <c r="B26" t="s">
        <v>202</v>
      </c>
      <c r="C26">
        <v>230</v>
      </c>
      <c r="D26">
        <v>500</v>
      </c>
    </row>
    <row r="27" spans="1:14" x14ac:dyDescent="0.25">
      <c r="A27" t="s">
        <v>157</v>
      </c>
      <c r="B27" t="s">
        <v>202</v>
      </c>
      <c r="C27">
        <v>220</v>
      </c>
      <c r="D27">
        <v>1000</v>
      </c>
    </row>
    <row r="28" spans="1:14" x14ac:dyDescent="0.25">
      <c r="A28" t="s">
        <v>158</v>
      </c>
      <c r="B28" t="s">
        <v>202</v>
      </c>
      <c r="C28">
        <v>210</v>
      </c>
      <c r="D28">
        <v>2000</v>
      </c>
    </row>
    <row r="29" spans="1:14" x14ac:dyDescent="0.25">
      <c r="A29" t="s">
        <v>159</v>
      </c>
      <c r="B29" t="s">
        <v>202</v>
      </c>
      <c r="C29">
        <v>200</v>
      </c>
      <c r="D29">
        <v>3000</v>
      </c>
    </row>
    <row r="30" spans="1:14" x14ac:dyDescent="0.25">
      <c r="A30" t="s">
        <v>160</v>
      </c>
      <c r="B30" t="s">
        <v>202</v>
      </c>
      <c r="C30">
        <v>190</v>
      </c>
      <c r="D30">
        <v>4000</v>
      </c>
    </row>
    <row r="32" spans="1:14" x14ac:dyDescent="0.25">
      <c r="A32" t="s">
        <v>169</v>
      </c>
      <c r="B32" t="s">
        <v>169</v>
      </c>
      <c r="C32" t="s">
        <v>171</v>
      </c>
      <c r="D32" t="s">
        <v>172</v>
      </c>
      <c r="E32" t="s">
        <v>173</v>
      </c>
    </row>
    <row r="33" spans="1:23" x14ac:dyDescent="0.25">
      <c r="A33" t="s">
        <v>155</v>
      </c>
      <c r="B33">
        <v>0</v>
      </c>
      <c r="C33" t="s">
        <v>170</v>
      </c>
      <c r="D33" t="s">
        <v>198</v>
      </c>
      <c r="E33">
        <v>100</v>
      </c>
      <c r="F33" t="str">
        <f>D33&amp;COUNTIF($D$33:D33,D33)</f>
        <v>LOCAL1</v>
      </c>
    </row>
    <row r="34" spans="1:23" x14ac:dyDescent="0.25">
      <c r="A34" t="s">
        <v>156</v>
      </c>
      <c r="B34">
        <v>500</v>
      </c>
      <c r="C34" t="s">
        <v>170</v>
      </c>
      <c r="D34" t="s">
        <v>198</v>
      </c>
      <c r="E34">
        <v>90</v>
      </c>
      <c r="F34" t="str">
        <f>D34&amp;COUNTIF($D$33:D34,D34)</f>
        <v>LOCAL2</v>
      </c>
    </row>
    <row r="35" spans="1:23" x14ac:dyDescent="0.25">
      <c r="A35" t="s">
        <v>157</v>
      </c>
      <c r="B35">
        <v>1000</v>
      </c>
      <c r="C35" t="s">
        <v>170</v>
      </c>
      <c r="D35" t="s">
        <v>198</v>
      </c>
      <c r="E35">
        <v>80</v>
      </c>
      <c r="F35" t="str">
        <f>D35&amp;COUNTIF($D$33:D35,D35)</f>
        <v>LOCAL3</v>
      </c>
    </row>
    <row r="36" spans="1:23" x14ac:dyDescent="0.25">
      <c r="A36" t="s">
        <v>158</v>
      </c>
      <c r="B36">
        <v>2000</v>
      </c>
      <c r="C36" t="s">
        <v>170</v>
      </c>
      <c r="D36" t="s">
        <v>198</v>
      </c>
      <c r="E36">
        <v>70</v>
      </c>
      <c r="F36" t="str">
        <f>D36&amp;COUNTIF($D$33:D36,D36)</f>
        <v>LOCAL4</v>
      </c>
    </row>
    <row r="37" spans="1:23" x14ac:dyDescent="0.25">
      <c r="A37" t="s">
        <v>159</v>
      </c>
      <c r="B37">
        <v>3000</v>
      </c>
      <c r="C37" t="s">
        <v>170</v>
      </c>
      <c r="D37" t="s">
        <v>198</v>
      </c>
      <c r="E37">
        <v>60</v>
      </c>
      <c r="F37" t="str">
        <f>D37&amp;COUNTIF($D$33:D37,D37)</f>
        <v>LOCAL5</v>
      </c>
      <c r="L37" t="s">
        <v>198</v>
      </c>
      <c r="M37" t="s">
        <v>198</v>
      </c>
      <c r="N37" t="s">
        <v>198</v>
      </c>
      <c r="O37" t="s">
        <v>199</v>
      </c>
      <c r="P37" t="s">
        <v>199</v>
      </c>
      <c r="Q37" t="s">
        <v>199</v>
      </c>
      <c r="R37" t="s">
        <v>203</v>
      </c>
      <c r="S37" t="s">
        <v>203</v>
      </c>
      <c r="T37" t="s">
        <v>203</v>
      </c>
      <c r="U37" t="s">
        <v>204</v>
      </c>
      <c r="V37" t="s">
        <v>204</v>
      </c>
      <c r="W37" t="s">
        <v>204</v>
      </c>
    </row>
    <row r="38" spans="1:23" x14ac:dyDescent="0.25">
      <c r="A38" t="s">
        <v>160</v>
      </c>
      <c r="B38">
        <v>4000</v>
      </c>
      <c r="C38" t="s">
        <v>170</v>
      </c>
      <c r="D38" t="s">
        <v>198</v>
      </c>
      <c r="E38">
        <v>50</v>
      </c>
      <c r="F38" t="str">
        <f>D38&amp;COUNTIF($D$33:D38,D38)</f>
        <v>LOCAL6</v>
      </c>
      <c r="K38" t="s">
        <v>169</v>
      </c>
      <c r="L38" t="s">
        <v>170</v>
      </c>
      <c r="M38" t="s">
        <v>168</v>
      </c>
      <c r="N38" t="s">
        <v>202</v>
      </c>
      <c r="O38" t="s">
        <v>170</v>
      </c>
      <c r="P38" t="s">
        <v>168</v>
      </c>
      <c r="Q38" t="s">
        <v>202</v>
      </c>
      <c r="R38" t="s">
        <v>170</v>
      </c>
      <c r="S38" t="s">
        <v>168</v>
      </c>
      <c r="T38" t="s">
        <v>202</v>
      </c>
      <c r="U38" t="s">
        <v>170</v>
      </c>
      <c r="V38" t="s">
        <v>168</v>
      </c>
      <c r="W38" t="s">
        <v>202</v>
      </c>
    </row>
    <row r="39" spans="1:23" x14ac:dyDescent="0.25">
      <c r="A39" t="s">
        <v>155</v>
      </c>
      <c r="B39">
        <v>0</v>
      </c>
      <c r="C39" t="s">
        <v>168</v>
      </c>
      <c r="D39" t="s">
        <v>198</v>
      </c>
      <c r="E39">
        <v>120</v>
      </c>
      <c r="F39" t="str">
        <f>D39&amp;COUNTIF($D$33:D39,D39)</f>
        <v>LOCAL7</v>
      </c>
      <c r="K39">
        <v>0</v>
      </c>
      <c r="L39">
        <f>SUMIFS($E$33:$E$104,$B$33:$B$104,$K39,$C$33:$C$104,L$38,$D$33:$D$104,L$37)</f>
        <v>100</v>
      </c>
      <c r="M39">
        <f t="shared" ref="M39:W44" si="0">SUMIFS($E$33:$E$104,$B$33:$B$104,$K39,$C$33:$C$104,M$38,$D$33:$D$104,M$37)</f>
        <v>120</v>
      </c>
      <c r="N39">
        <f t="shared" si="0"/>
        <v>140</v>
      </c>
      <c r="O39">
        <f t="shared" si="0"/>
        <v>160</v>
      </c>
      <c r="P39">
        <f t="shared" si="0"/>
        <v>180</v>
      </c>
      <c r="Q39">
        <f t="shared" si="0"/>
        <v>200</v>
      </c>
      <c r="R39">
        <f t="shared" si="0"/>
        <v>220</v>
      </c>
      <c r="S39">
        <f t="shared" si="0"/>
        <v>240</v>
      </c>
      <c r="T39">
        <f t="shared" si="0"/>
        <v>260</v>
      </c>
      <c r="U39">
        <f t="shared" si="0"/>
        <v>280</v>
      </c>
      <c r="V39">
        <f t="shared" si="0"/>
        <v>300</v>
      </c>
      <c r="W39">
        <f t="shared" si="0"/>
        <v>320</v>
      </c>
    </row>
    <row r="40" spans="1:23" x14ac:dyDescent="0.25">
      <c r="A40" t="s">
        <v>156</v>
      </c>
      <c r="B40">
        <v>500</v>
      </c>
      <c r="C40" t="s">
        <v>168</v>
      </c>
      <c r="D40" t="s">
        <v>198</v>
      </c>
      <c r="E40">
        <v>110</v>
      </c>
      <c r="F40" t="str">
        <f>D40&amp;COUNTIF($D$33:D40,D40)</f>
        <v>LOCAL8</v>
      </c>
      <c r="K40">
        <v>500</v>
      </c>
      <c r="L40">
        <f t="shared" ref="L40:L44" si="1">SUMIFS($E$33:$E$104,$B$33:$B$104,$K40,$C$33:$C$104,L$38,$D$33:$D$104,L$37)</f>
        <v>90</v>
      </c>
      <c r="M40">
        <f>SUMIFS($E$33:$E$104,$B$33:$B$104,$K40,$C$33:$C$104,M$38,$D$33:$D$104,M$37)</f>
        <v>110</v>
      </c>
      <c r="N40">
        <f t="shared" si="0"/>
        <v>130</v>
      </c>
      <c r="O40">
        <f t="shared" si="0"/>
        <v>150</v>
      </c>
      <c r="P40">
        <f t="shared" si="0"/>
        <v>170</v>
      </c>
      <c r="Q40">
        <f t="shared" si="0"/>
        <v>190</v>
      </c>
      <c r="R40">
        <f t="shared" si="0"/>
        <v>210</v>
      </c>
      <c r="S40">
        <f t="shared" si="0"/>
        <v>230</v>
      </c>
      <c r="T40">
        <f t="shared" si="0"/>
        <v>250</v>
      </c>
      <c r="U40">
        <f t="shared" si="0"/>
        <v>270</v>
      </c>
      <c r="V40">
        <f t="shared" si="0"/>
        <v>290</v>
      </c>
      <c r="W40">
        <f t="shared" si="0"/>
        <v>310</v>
      </c>
    </row>
    <row r="41" spans="1:23" x14ac:dyDescent="0.25">
      <c r="A41" t="s">
        <v>157</v>
      </c>
      <c r="B41">
        <v>1000</v>
      </c>
      <c r="C41" t="s">
        <v>168</v>
      </c>
      <c r="D41" t="s">
        <v>198</v>
      </c>
      <c r="E41">
        <v>100</v>
      </c>
      <c r="F41" t="str">
        <f>D41&amp;COUNTIF($D$33:D41,D41)</f>
        <v>LOCAL9</v>
      </c>
      <c r="K41">
        <v>1000</v>
      </c>
      <c r="L41">
        <f>SUMIFS($E$33:$E$104,$B$33:$B$104,$K41,$C$33:$C$104,L$38,$D$33:$D$104,L$37)</f>
        <v>80</v>
      </c>
      <c r="M41">
        <f t="shared" si="0"/>
        <v>100</v>
      </c>
      <c r="N41">
        <f t="shared" si="0"/>
        <v>120</v>
      </c>
      <c r="O41">
        <f t="shared" si="0"/>
        <v>140</v>
      </c>
      <c r="P41">
        <f t="shared" si="0"/>
        <v>160</v>
      </c>
      <c r="Q41">
        <f t="shared" si="0"/>
        <v>180</v>
      </c>
      <c r="R41">
        <f t="shared" si="0"/>
        <v>200</v>
      </c>
      <c r="S41">
        <f t="shared" si="0"/>
        <v>220</v>
      </c>
      <c r="T41">
        <f t="shared" si="0"/>
        <v>240</v>
      </c>
      <c r="U41">
        <f t="shared" si="0"/>
        <v>260</v>
      </c>
      <c r="V41">
        <f t="shared" si="0"/>
        <v>280</v>
      </c>
      <c r="W41">
        <f t="shared" si="0"/>
        <v>300</v>
      </c>
    </row>
    <row r="42" spans="1:23" x14ac:dyDescent="0.25">
      <c r="A42" t="s">
        <v>158</v>
      </c>
      <c r="B42">
        <v>2000</v>
      </c>
      <c r="C42" t="s">
        <v>168</v>
      </c>
      <c r="D42" t="s">
        <v>198</v>
      </c>
      <c r="E42">
        <v>90</v>
      </c>
      <c r="F42" t="str">
        <f>D42&amp;COUNTIF($D$33:D42,D42)</f>
        <v>LOCAL10</v>
      </c>
      <c r="K42">
        <v>2000</v>
      </c>
      <c r="L42">
        <f t="shared" si="1"/>
        <v>70</v>
      </c>
      <c r="M42">
        <f>SUMIFS($E$33:$E$104,$B$33:$B$104,$K42,$C$33:$C$104,M$38,$D$33:$D$104,M$37)</f>
        <v>90</v>
      </c>
      <c r="N42">
        <f t="shared" si="0"/>
        <v>110</v>
      </c>
      <c r="O42">
        <f t="shared" si="0"/>
        <v>130</v>
      </c>
      <c r="P42">
        <f t="shared" si="0"/>
        <v>150</v>
      </c>
      <c r="Q42">
        <f t="shared" si="0"/>
        <v>170</v>
      </c>
      <c r="R42">
        <f t="shared" si="0"/>
        <v>190</v>
      </c>
      <c r="S42">
        <f t="shared" si="0"/>
        <v>210</v>
      </c>
      <c r="T42">
        <f t="shared" si="0"/>
        <v>230</v>
      </c>
      <c r="U42">
        <f t="shared" si="0"/>
        <v>250</v>
      </c>
      <c r="V42">
        <f t="shared" si="0"/>
        <v>270</v>
      </c>
      <c r="W42">
        <f t="shared" si="0"/>
        <v>290</v>
      </c>
    </row>
    <row r="43" spans="1:23" x14ac:dyDescent="0.25">
      <c r="A43" t="s">
        <v>159</v>
      </c>
      <c r="B43">
        <v>3000</v>
      </c>
      <c r="C43" t="s">
        <v>168</v>
      </c>
      <c r="D43" t="s">
        <v>198</v>
      </c>
      <c r="E43">
        <v>80</v>
      </c>
      <c r="F43" t="str">
        <f>D43&amp;COUNTIF($D$33:D43,D43)</f>
        <v>LOCAL11</v>
      </c>
      <c r="K43">
        <v>3000</v>
      </c>
      <c r="L43">
        <f t="shared" si="1"/>
        <v>60</v>
      </c>
      <c r="M43">
        <f t="shared" si="0"/>
        <v>80</v>
      </c>
      <c r="N43">
        <f t="shared" si="0"/>
        <v>100</v>
      </c>
      <c r="O43">
        <f t="shared" si="0"/>
        <v>120</v>
      </c>
      <c r="P43">
        <f t="shared" si="0"/>
        <v>140</v>
      </c>
      <c r="Q43">
        <f t="shared" si="0"/>
        <v>160</v>
      </c>
      <c r="R43">
        <f t="shared" si="0"/>
        <v>180</v>
      </c>
      <c r="S43">
        <f t="shared" si="0"/>
        <v>200</v>
      </c>
      <c r="T43">
        <f t="shared" si="0"/>
        <v>220</v>
      </c>
      <c r="U43">
        <f t="shared" si="0"/>
        <v>240</v>
      </c>
      <c r="V43">
        <f t="shared" si="0"/>
        <v>260</v>
      </c>
      <c r="W43">
        <f t="shared" si="0"/>
        <v>280</v>
      </c>
    </row>
    <row r="44" spans="1:23" x14ac:dyDescent="0.25">
      <c r="A44" t="s">
        <v>160</v>
      </c>
      <c r="B44">
        <v>4000</v>
      </c>
      <c r="C44" t="s">
        <v>168</v>
      </c>
      <c r="D44" t="s">
        <v>198</v>
      </c>
      <c r="E44">
        <v>70</v>
      </c>
      <c r="F44" t="str">
        <f>D44&amp;COUNTIF($D$33:D44,D44)</f>
        <v>LOCAL12</v>
      </c>
      <c r="K44">
        <v>4000</v>
      </c>
      <c r="L44">
        <f t="shared" si="1"/>
        <v>50</v>
      </c>
      <c r="M44">
        <f t="shared" si="0"/>
        <v>70</v>
      </c>
      <c r="N44">
        <f t="shared" si="0"/>
        <v>90</v>
      </c>
      <c r="O44">
        <f t="shared" si="0"/>
        <v>110</v>
      </c>
      <c r="P44">
        <f t="shared" si="0"/>
        <v>130</v>
      </c>
      <c r="Q44">
        <f t="shared" si="0"/>
        <v>150</v>
      </c>
      <c r="R44">
        <f t="shared" si="0"/>
        <v>170</v>
      </c>
      <c r="S44">
        <f t="shared" si="0"/>
        <v>190</v>
      </c>
      <c r="T44">
        <f t="shared" si="0"/>
        <v>210</v>
      </c>
      <c r="U44">
        <f t="shared" si="0"/>
        <v>230</v>
      </c>
      <c r="V44">
        <f t="shared" si="0"/>
        <v>250</v>
      </c>
      <c r="W44">
        <f t="shared" si="0"/>
        <v>270</v>
      </c>
    </row>
    <row r="45" spans="1:23" x14ac:dyDescent="0.25">
      <c r="A45" t="s">
        <v>155</v>
      </c>
      <c r="B45">
        <v>0</v>
      </c>
      <c r="C45" t="s">
        <v>202</v>
      </c>
      <c r="D45" t="s">
        <v>198</v>
      </c>
      <c r="E45">
        <v>140</v>
      </c>
      <c r="F45" t="str">
        <f>D45&amp;COUNTIF($D$33:D45,D45)</f>
        <v>LOCAL13</v>
      </c>
    </row>
    <row r="46" spans="1:23" x14ac:dyDescent="0.25">
      <c r="A46" t="s">
        <v>156</v>
      </c>
      <c r="B46">
        <v>500</v>
      </c>
      <c r="C46" t="s">
        <v>202</v>
      </c>
      <c r="D46" t="s">
        <v>198</v>
      </c>
      <c r="E46">
        <v>130</v>
      </c>
      <c r="F46" t="str">
        <f>D46&amp;COUNTIF($D$33:D46,D46)</f>
        <v>LOCAL14</v>
      </c>
      <c r="K46">
        <v>200</v>
      </c>
      <c r="L46">
        <f t="array" ref="L46">INDEX(L39:W44,MATCH(K46,K39:K44,1),MATCH(J47&amp;K47,L38:W38&amp;L37:W37,0))</f>
        <v>180</v>
      </c>
    </row>
    <row r="47" spans="1:23" x14ac:dyDescent="0.25">
      <c r="A47" t="s">
        <v>157</v>
      </c>
      <c r="B47">
        <v>1000</v>
      </c>
      <c r="C47" t="s">
        <v>202</v>
      </c>
      <c r="D47" t="s">
        <v>198</v>
      </c>
      <c r="E47">
        <v>120</v>
      </c>
      <c r="F47" t="str">
        <f>D47&amp;COUNTIF($D$33:D47,D47)</f>
        <v>LOCAL15</v>
      </c>
      <c r="J47" t="s">
        <v>165</v>
      </c>
      <c r="K47" t="s">
        <v>205</v>
      </c>
    </row>
    <row r="48" spans="1:23" x14ac:dyDescent="0.25">
      <c r="A48" t="s">
        <v>158</v>
      </c>
      <c r="B48">
        <v>2000</v>
      </c>
      <c r="C48" t="s">
        <v>202</v>
      </c>
      <c r="D48" t="s">
        <v>198</v>
      </c>
      <c r="E48">
        <v>110</v>
      </c>
      <c r="F48" t="str">
        <f>D48&amp;COUNTIF($D$33:D48,D48)</f>
        <v>LOCAL16</v>
      </c>
    </row>
    <row r="49" spans="1:12" x14ac:dyDescent="0.25">
      <c r="A49" t="s">
        <v>159</v>
      </c>
      <c r="B49">
        <v>3000</v>
      </c>
      <c r="C49" t="s">
        <v>202</v>
      </c>
      <c r="D49" t="s">
        <v>198</v>
      </c>
      <c r="E49">
        <v>100</v>
      </c>
      <c r="F49" t="str">
        <f>D49&amp;COUNTIF($D$33:D49,D49)</f>
        <v>LOCAL17</v>
      </c>
    </row>
    <row r="50" spans="1:12" x14ac:dyDescent="0.25">
      <c r="A50" t="s">
        <v>160</v>
      </c>
      <c r="B50">
        <v>4000</v>
      </c>
      <c r="C50" t="s">
        <v>202</v>
      </c>
      <c r="D50" t="s">
        <v>198</v>
      </c>
      <c r="E50">
        <v>90</v>
      </c>
      <c r="F50" t="str">
        <f>D50&amp;COUNTIF($D$33:D50,D50)</f>
        <v>LOCAL18</v>
      </c>
    </row>
    <row r="51" spans="1:12" x14ac:dyDescent="0.25">
      <c r="A51" t="s">
        <v>155</v>
      </c>
      <c r="B51">
        <v>0</v>
      </c>
      <c r="C51" t="s">
        <v>170</v>
      </c>
      <c r="D51" t="s">
        <v>199</v>
      </c>
      <c r="E51">
        <v>160</v>
      </c>
      <c r="F51" t="str">
        <f>D51&amp;COUNTIF($D$33:D51,D51)</f>
        <v>REGIONAL1</v>
      </c>
    </row>
    <row r="52" spans="1:12" x14ac:dyDescent="0.25">
      <c r="A52" t="s">
        <v>156</v>
      </c>
      <c r="B52">
        <v>500</v>
      </c>
      <c r="C52" t="s">
        <v>170</v>
      </c>
      <c r="D52" t="s">
        <v>199</v>
      </c>
      <c r="E52">
        <v>150</v>
      </c>
      <c r="F52" t="str">
        <f>D52&amp;COUNTIF($D$33:D52,D52)</f>
        <v>REGIONAL2</v>
      </c>
      <c r="K52" t="s">
        <v>198</v>
      </c>
      <c r="L52" t="s">
        <v>199</v>
      </c>
    </row>
    <row r="53" spans="1:12" x14ac:dyDescent="0.25">
      <c r="A53" t="s">
        <v>157</v>
      </c>
      <c r="B53">
        <v>1000</v>
      </c>
      <c r="C53" t="s">
        <v>170</v>
      </c>
      <c r="D53" t="s">
        <v>199</v>
      </c>
      <c r="E53">
        <v>140</v>
      </c>
      <c r="F53" t="str">
        <f>D53&amp;COUNTIF($D$33:D53,D53)</f>
        <v>REGIONAL3</v>
      </c>
      <c r="J53" t="s">
        <v>169</v>
      </c>
      <c r="K53" t="s">
        <v>170</v>
      </c>
      <c r="L53" t="s">
        <v>168</v>
      </c>
    </row>
    <row r="54" spans="1:12" x14ac:dyDescent="0.25">
      <c r="A54" t="s">
        <v>158</v>
      </c>
      <c r="B54">
        <v>2000</v>
      </c>
      <c r="C54" t="s">
        <v>170</v>
      </c>
      <c r="D54" t="s">
        <v>199</v>
      </c>
      <c r="E54">
        <v>130</v>
      </c>
      <c r="F54" t="str">
        <f>D54&amp;COUNTIF($D$33:D54,D54)</f>
        <v>REGIONAL4</v>
      </c>
      <c r="J54">
        <v>0</v>
      </c>
      <c r="K54">
        <f t="array" ref="K54">INDEX($L$39:$W$44,MATCH($J54,$K$39:$K$44,1),MATCH(K$53&amp;K$52,$L$38:$W$38&amp;$L$37:$W$37,0))</f>
        <v>100</v>
      </c>
      <c r="L54">
        <f t="array" ref="L54">INDEX($L$39:$W$44,MATCH($J54,$K$39:$K$44,0),MATCH(L$53&amp;L$52,$L$38:$W$38&amp;$L$37:$W$37,0))</f>
        <v>180</v>
      </c>
    </row>
    <row r="55" spans="1:12" x14ac:dyDescent="0.25">
      <c r="A55" t="s">
        <v>159</v>
      </c>
      <c r="B55">
        <v>3000</v>
      </c>
      <c r="C55" t="s">
        <v>170</v>
      </c>
      <c r="D55" t="s">
        <v>199</v>
      </c>
      <c r="E55">
        <v>120</v>
      </c>
      <c r="F55" t="str">
        <f>D55&amp;COUNTIF($D$33:D55,D55)</f>
        <v>REGIONAL5</v>
      </c>
      <c r="J55">
        <v>500</v>
      </c>
      <c r="K55">
        <f t="array" ref="K55">INDEX($L$39:$W$44,MATCH($J55,$K$39:$K$44,0),MATCH(K$53&amp;K$52,$L$38:$W$38&amp;$L$37:$W$37,0))</f>
        <v>90</v>
      </c>
      <c r="L55">
        <f t="array" ref="L55">INDEX($L$39:$W$44,MATCH($J55,$K$39:$K$44,0),MATCH(L$53&amp;L$52,$L$38:$W$38&amp;$L$37:$W$37,0))</f>
        <v>170</v>
      </c>
    </row>
    <row r="56" spans="1:12" x14ac:dyDescent="0.25">
      <c r="A56" t="s">
        <v>160</v>
      </c>
      <c r="B56">
        <v>4000</v>
      </c>
      <c r="C56" t="s">
        <v>170</v>
      </c>
      <c r="D56" t="s">
        <v>199</v>
      </c>
      <c r="E56">
        <v>110</v>
      </c>
      <c r="F56" t="str">
        <f>D56&amp;COUNTIF($D$33:D56,D56)</f>
        <v>REGIONAL6</v>
      </c>
      <c r="J56">
        <v>1000</v>
      </c>
      <c r="K56">
        <f t="array" ref="K56">INDEX($L$39:$W$44,MATCH($J56,$K$39:$K$44,0),MATCH(K$53&amp;K$52,$L$38:$W$38&amp;$L$37:$W$37,0))</f>
        <v>80</v>
      </c>
      <c r="L56">
        <f t="array" ref="L56">INDEX($L$39:$W$44,MATCH($J56,$K$39:$K$44,0),MATCH(L$53&amp;L$52,$L$38:$W$38&amp;$L$37:$W$37,0))</f>
        <v>160</v>
      </c>
    </row>
    <row r="57" spans="1:12" x14ac:dyDescent="0.25">
      <c r="A57" t="s">
        <v>155</v>
      </c>
      <c r="B57">
        <v>0</v>
      </c>
      <c r="C57" t="s">
        <v>168</v>
      </c>
      <c r="D57" t="s">
        <v>199</v>
      </c>
      <c r="E57">
        <v>180</v>
      </c>
      <c r="F57" t="str">
        <f>D57&amp;COUNTIF($D$33:D57,D57)</f>
        <v>REGIONAL7</v>
      </c>
      <c r="J57">
        <v>2000</v>
      </c>
      <c r="K57">
        <f t="array" ref="K57">INDEX($L$39:$W$44,MATCH($J57,$K$39:$K$44,0),MATCH(K$53&amp;K$52,$L$38:$W$38&amp;$L$37:$W$37,0))</f>
        <v>70</v>
      </c>
      <c r="L57">
        <f t="array" ref="L57">INDEX($L$39:$W$44,MATCH($J57,$K$39:$K$44,0),MATCH(L$53&amp;L$52,$L$38:$W$38&amp;$L$37:$W$37,0))</f>
        <v>150</v>
      </c>
    </row>
    <row r="58" spans="1:12" x14ac:dyDescent="0.25">
      <c r="A58" t="s">
        <v>156</v>
      </c>
      <c r="B58">
        <v>500</v>
      </c>
      <c r="C58" t="s">
        <v>168</v>
      </c>
      <c r="D58" t="s">
        <v>199</v>
      </c>
      <c r="E58">
        <v>170</v>
      </c>
      <c r="F58" t="str">
        <f>D58&amp;COUNTIF($D$33:D58,D58)</f>
        <v>REGIONAL8</v>
      </c>
      <c r="J58">
        <v>3000</v>
      </c>
      <c r="K58">
        <f t="array" ref="K58">INDEX($L$39:$W$44,MATCH($J58,$K$39:$K$44,0),MATCH(K$53&amp;K$52,$L$38:$W$38&amp;$L$37:$W$37,0))</f>
        <v>60</v>
      </c>
      <c r="L58">
        <f t="array" ref="L58">INDEX($L$39:$W$44,MATCH($J58,$K$39:$K$44,0),MATCH(L$53&amp;L$52,$L$38:$W$38&amp;$L$37:$W$37,0))</f>
        <v>140</v>
      </c>
    </row>
    <row r="59" spans="1:12" x14ac:dyDescent="0.25">
      <c r="A59" t="s">
        <v>157</v>
      </c>
      <c r="B59">
        <v>1000</v>
      </c>
      <c r="C59" t="s">
        <v>168</v>
      </c>
      <c r="D59" t="s">
        <v>199</v>
      </c>
      <c r="E59">
        <v>160</v>
      </c>
      <c r="F59" t="str">
        <f>D59&amp;COUNTIF($D$33:D59,D59)</f>
        <v>REGIONAL9</v>
      </c>
      <c r="J59">
        <v>4000</v>
      </c>
      <c r="K59">
        <f t="array" ref="K59">INDEX($L$39:$W$44,MATCH($J59,$K$39:$K$44,0),MATCH(K$53&amp;K$52,$L$38:$W$38&amp;$L$37:$W$37,0))</f>
        <v>50</v>
      </c>
      <c r="L59">
        <f t="array" ref="L59">INDEX($L$39:$W$44,MATCH($J59,$K$39:$K$44,0),MATCH(L$53&amp;L$52,$L$38:$W$38&amp;$L$37:$W$37,0))</f>
        <v>130</v>
      </c>
    </row>
    <row r="60" spans="1:12" x14ac:dyDescent="0.25">
      <c r="A60" t="s">
        <v>158</v>
      </c>
      <c r="B60">
        <v>2000</v>
      </c>
      <c r="C60" t="s">
        <v>168</v>
      </c>
      <c r="D60" t="s">
        <v>199</v>
      </c>
      <c r="E60">
        <v>150</v>
      </c>
      <c r="F60" t="str">
        <f>D60&amp;COUNTIF($D$33:D60,D60)</f>
        <v>REGIONAL10</v>
      </c>
    </row>
    <row r="61" spans="1:12" x14ac:dyDescent="0.25">
      <c r="A61" t="s">
        <v>159</v>
      </c>
      <c r="B61">
        <v>3000</v>
      </c>
      <c r="C61" t="s">
        <v>168</v>
      </c>
      <c r="D61" t="s">
        <v>199</v>
      </c>
      <c r="E61">
        <v>140</v>
      </c>
      <c r="F61" t="str">
        <f>D61&amp;COUNTIF($D$33:D61,D61)</f>
        <v>REGIONAL11</v>
      </c>
    </row>
    <row r="62" spans="1:12" x14ac:dyDescent="0.25">
      <c r="A62" t="s">
        <v>160</v>
      </c>
      <c r="B62">
        <v>4000</v>
      </c>
      <c r="C62" t="s">
        <v>168</v>
      </c>
      <c r="D62" t="s">
        <v>199</v>
      </c>
      <c r="E62">
        <v>130</v>
      </c>
      <c r="F62" t="str">
        <f>D62&amp;COUNTIF($D$33:D62,D62)</f>
        <v>REGIONAL12</v>
      </c>
    </row>
    <row r="63" spans="1:12" x14ac:dyDescent="0.25">
      <c r="A63" t="s">
        <v>155</v>
      </c>
      <c r="B63">
        <v>0</v>
      </c>
      <c r="C63" t="s">
        <v>202</v>
      </c>
      <c r="D63" t="s">
        <v>199</v>
      </c>
      <c r="E63">
        <v>200</v>
      </c>
      <c r="F63" t="str">
        <f>D63&amp;COUNTIF($D$33:D63,D63)</f>
        <v>REGIONAL13</v>
      </c>
    </row>
    <row r="64" spans="1:12" x14ac:dyDescent="0.25">
      <c r="A64" t="s">
        <v>156</v>
      </c>
      <c r="B64">
        <v>500</v>
      </c>
      <c r="C64" t="s">
        <v>202</v>
      </c>
      <c r="D64" t="s">
        <v>199</v>
      </c>
      <c r="E64">
        <v>190</v>
      </c>
      <c r="F64" t="str">
        <f>D64&amp;COUNTIF($D$33:D64,D64)</f>
        <v>REGIONAL14</v>
      </c>
    </row>
    <row r="65" spans="1:6" x14ac:dyDescent="0.25">
      <c r="A65" t="s">
        <v>157</v>
      </c>
      <c r="B65">
        <v>1000</v>
      </c>
      <c r="C65" t="s">
        <v>202</v>
      </c>
      <c r="D65" t="s">
        <v>199</v>
      </c>
      <c r="E65">
        <v>180</v>
      </c>
      <c r="F65" t="str">
        <f>D65&amp;COUNTIF($D$33:D65,D65)</f>
        <v>REGIONAL15</v>
      </c>
    </row>
    <row r="66" spans="1:6" x14ac:dyDescent="0.25">
      <c r="A66" t="s">
        <v>158</v>
      </c>
      <c r="B66">
        <v>2000</v>
      </c>
      <c r="C66" t="s">
        <v>202</v>
      </c>
      <c r="D66" t="s">
        <v>199</v>
      </c>
      <c r="E66">
        <v>170</v>
      </c>
      <c r="F66" t="str">
        <f>D66&amp;COUNTIF($D$33:D66,D66)</f>
        <v>REGIONAL16</v>
      </c>
    </row>
    <row r="67" spans="1:6" x14ac:dyDescent="0.25">
      <c r="A67" t="s">
        <v>159</v>
      </c>
      <c r="B67">
        <v>3000</v>
      </c>
      <c r="C67" t="s">
        <v>202</v>
      </c>
      <c r="D67" t="s">
        <v>199</v>
      </c>
      <c r="E67">
        <v>160</v>
      </c>
      <c r="F67" t="str">
        <f>D67&amp;COUNTIF($D$33:D67,D67)</f>
        <v>REGIONAL17</v>
      </c>
    </row>
    <row r="68" spans="1:6" x14ac:dyDescent="0.25">
      <c r="A68" t="s">
        <v>160</v>
      </c>
      <c r="B68">
        <v>4000</v>
      </c>
      <c r="C68" t="s">
        <v>202</v>
      </c>
      <c r="D68" t="s">
        <v>199</v>
      </c>
      <c r="E68">
        <v>150</v>
      </c>
      <c r="F68" t="str">
        <f>D68&amp;COUNTIF($D$33:D68,D68)</f>
        <v>REGIONAL18</v>
      </c>
    </row>
    <row r="69" spans="1:6" x14ac:dyDescent="0.25">
      <c r="A69" t="s">
        <v>155</v>
      </c>
      <c r="B69">
        <v>0</v>
      </c>
      <c r="C69" t="s">
        <v>170</v>
      </c>
      <c r="D69" t="s">
        <v>200</v>
      </c>
      <c r="E69">
        <v>220</v>
      </c>
      <c r="F69" t="str">
        <f>D69&amp;COUNTIF($D$33:D69,D69)</f>
        <v>NATIONAL1</v>
      </c>
    </row>
    <row r="70" spans="1:6" x14ac:dyDescent="0.25">
      <c r="A70" t="s">
        <v>156</v>
      </c>
      <c r="B70">
        <v>500</v>
      </c>
      <c r="C70" t="s">
        <v>170</v>
      </c>
      <c r="D70" t="s">
        <v>200</v>
      </c>
      <c r="E70">
        <v>210</v>
      </c>
      <c r="F70" t="str">
        <f>D70&amp;COUNTIF($D$33:D70,D70)</f>
        <v>NATIONAL2</v>
      </c>
    </row>
    <row r="71" spans="1:6" x14ac:dyDescent="0.25">
      <c r="A71" t="s">
        <v>157</v>
      </c>
      <c r="B71">
        <v>1000</v>
      </c>
      <c r="C71" t="s">
        <v>170</v>
      </c>
      <c r="D71" t="s">
        <v>200</v>
      </c>
      <c r="E71">
        <v>200</v>
      </c>
      <c r="F71" t="str">
        <f>D71&amp;COUNTIF($D$33:D71,D71)</f>
        <v>NATIONAL3</v>
      </c>
    </row>
    <row r="72" spans="1:6" x14ac:dyDescent="0.25">
      <c r="A72" t="s">
        <v>158</v>
      </c>
      <c r="B72">
        <v>2000</v>
      </c>
      <c r="C72" t="s">
        <v>170</v>
      </c>
      <c r="D72" t="s">
        <v>200</v>
      </c>
      <c r="E72">
        <v>190</v>
      </c>
      <c r="F72" t="str">
        <f>D72&amp;COUNTIF($D$33:D72,D72)</f>
        <v>NATIONAL4</v>
      </c>
    </row>
    <row r="73" spans="1:6" x14ac:dyDescent="0.25">
      <c r="A73" t="s">
        <v>159</v>
      </c>
      <c r="B73">
        <v>3000</v>
      </c>
      <c r="C73" t="s">
        <v>170</v>
      </c>
      <c r="D73" t="s">
        <v>200</v>
      </c>
      <c r="E73">
        <v>180</v>
      </c>
      <c r="F73" t="str">
        <f>D73&amp;COUNTIF($D$33:D73,D73)</f>
        <v>NATIONAL5</v>
      </c>
    </row>
    <row r="74" spans="1:6" x14ac:dyDescent="0.25">
      <c r="A74" t="s">
        <v>160</v>
      </c>
      <c r="B74">
        <v>4000</v>
      </c>
      <c r="C74" t="s">
        <v>170</v>
      </c>
      <c r="D74" t="s">
        <v>200</v>
      </c>
      <c r="E74">
        <v>170</v>
      </c>
      <c r="F74" t="str">
        <f>D74&amp;COUNTIF($D$33:D74,D74)</f>
        <v>NATIONAL6</v>
      </c>
    </row>
    <row r="75" spans="1:6" x14ac:dyDescent="0.25">
      <c r="A75" t="s">
        <v>155</v>
      </c>
      <c r="B75">
        <v>0</v>
      </c>
      <c r="C75" t="s">
        <v>168</v>
      </c>
      <c r="D75" t="s">
        <v>200</v>
      </c>
      <c r="E75">
        <v>240</v>
      </c>
      <c r="F75" t="str">
        <f>D75&amp;COUNTIF($D$33:D75,D75)</f>
        <v>NATIONAL7</v>
      </c>
    </row>
    <row r="76" spans="1:6" x14ac:dyDescent="0.25">
      <c r="A76" t="s">
        <v>156</v>
      </c>
      <c r="B76">
        <v>500</v>
      </c>
      <c r="C76" t="s">
        <v>168</v>
      </c>
      <c r="D76" t="s">
        <v>200</v>
      </c>
      <c r="E76">
        <v>230</v>
      </c>
      <c r="F76" t="str">
        <f>D76&amp;COUNTIF($D$33:D76,D76)</f>
        <v>NATIONAL8</v>
      </c>
    </row>
    <row r="77" spans="1:6" x14ac:dyDescent="0.25">
      <c r="A77" t="s">
        <v>157</v>
      </c>
      <c r="B77">
        <v>1000</v>
      </c>
      <c r="C77" t="s">
        <v>168</v>
      </c>
      <c r="D77" t="s">
        <v>200</v>
      </c>
      <c r="E77">
        <v>220</v>
      </c>
      <c r="F77" t="str">
        <f>D77&amp;COUNTIF($D$33:D77,D77)</f>
        <v>NATIONAL9</v>
      </c>
    </row>
    <row r="78" spans="1:6" x14ac:dyDescent="0.25">
      <c r="A78" t="s">
        <v>158</v>
      </c>
      <c r="B78">
        <v>2000</v>
      </c>
      <c r="C78" t="s">
        <v>168</v>
      </c>
      <c r="D78" t="s">
        <v>200</v>
      </c>
      <c r="E78">
        <v>210</v>
      </c>
      <c r="F78" t="str">
        <f>D78&amp;COUNTIF($D$33:D78,D78)</f>
        <v>NATIONAL10</v>
      </c>
    </row>
    <row r="79" spans="1:6" x14ac:dyDescent="0.25">
      <c r="A79" t="s">
        <v>159</v>
      </c>
      <c r="B79">
        <v>3000</v>
      </c>
      <c r="C79" t="s">
        <v>168</v>
      </c>
      <c r="D79" t="s">
        <v>200</v>
      </c>
      <c r="E79">
        <v>200</v>
      </c>
      <c r="F79" t="str">
        <f>D79&amp;COUNTIF($D$33:D79,D79)</f>
        <v>NATIONAL11</v>
      </c>
    </row>
    <row r="80" spans="1:6" x14ac:dyDescent="0.25">
      <c r="A80" t="s">
        <v>160</v>
      </c>
      <c r="B80">
        <v>4000</v>
      </c>
      <c r="C80" t="s">
        <v>168</v>
      </c>
      <c r="D80" t="s">
        <v>200</v>
      </c>
      <c r="E80">
        <v>190</v>
      </c>
      <c r="F80" t="str">
        <f>D80&amp;COUNTIF($D$33:D80,D80)</f>
        <v>NATIONAL12</v>
      </c>
    </row>
    <row r="81" spans="1:6" x14ac:dyDescent="0.25">
      <c r="A81" t="s">
        <v>155</v>
      </c>
      <c r="B81">
        <v>0</v>
      </c>
      <c r="C81" t="s">
        <v>202</v>
      </c>
      <c r="D81" t="s">
        <v>200</v>
      </c>
      <c r="E81">
        <v>260</v>
      </c>
      <c r="F81" t="str">
        <f>D81&amp;COUNTIF($D$33:D81,D81)</f>
        <v>NATIONAL13</v>
      </c>
    </row>
    <row r="82" spans="1:6" x14ac:dyDescent="0.25">
      <c r="A82" t="s">
        <v>156</v>
      </c>
      <c r="B82">
        <v>500</v>
      </c>
      <c r="C82" t="s">
        <v>202</v>
      </c>
      <c r="D82" t="s">
        <v>200</v>
      </c>
      <c r="E82">
        <v>250</v>
      </c>
      <c r="F82" t="str">
        <f>D82&amp;COUNTIF($D$33:D82,D82)</f>
        <v>NATIONAL14</v>
      </c>
    </row>
    <row r="83" spans="1:6" x14ac:dyDescent="0.25">
      <c r="A83" t="s">
        <v>157</v>
      </c>
      <c r="B83">
        <v>1000</v>
      </c>
      <c r="C83" t="s">
        <v>202</v>
      </c>
      <c r="D83" t="s">
        <v>200</v>
      </c>
      <c r="E83">
        <v>240</v>
      </c>
      <c r="F83" t="str">
        <f>D83&amp;COUNTIF($D$33:D83,D83)</f>
        <v>NATIONAL15</v>
      </c>
    </row>
    <row r="84" spans="1:6" x14ac:dyDescent="0.25">
      <c r="A84" t="s">
        <v>158</v>
      </c>
      <c r="B84">
        <v>2000</v>
      </c>
      <c r="C84" t="s">
        <v>202</v>
      </c>
      <c r="D84" t="s">
        <v>200</v>
      </c>
      <c r="E84">
        <v>230</v>
      </c>
      <c r="F84" t="str">
        <f>D84&amp;COUNTIF($D$33:D84,D84)</f>
        <v>NATIONAL16</v>
      </c>
    </row>
    <row r="85" spans="1:6" x14ac:dyDescent="0.25">
      <c r="A85" t="s">
        <v>159</v>
      </c>
      <c r="B85">
        <v>3000</v>
      </c>
      <c r="C85" t="s">
        <v>202</v>
      </c>
      <c r="D85" t="s">
        <v>200</v>
      </c>
      <c r="E85">
        <v>220</v>
      </c>
      <c r="F85" t="str">
        <f>D85&amp;COUNTIF($D$33:D85,D85)</f>
        <v>NATIONAL17</v>
      </c>
    </row>
    <row r="86" spans="1:6" x14ac:dyDescent="0.25">
      <c r="A86" t="s">
        <v>160</v>
      </c>
      <c r="B86">
        <v>4000</v>
      </c>
      <c r="C86" t="s">
        <v>202</v>
      </c>
      <c r="D86" t="s">
        <v>200</v>
      </c>
      <c r="E86">
        <v>210</v>
      </c>
      <c r="F86" t="str">
        <f>D86&amp;COUNTIF($D$33:D86,D86)</f>
        <v>NATIONAL18</v>
      </c>
    </row>
    <row r="87" spans="1:6" x14ac:dyDescent="0.25">
      <c r="A87" t="s">
        <v>155</v>
      </c>
      <c r="B87">
        <v>0</v>
      </c>
      <c r="C87" t="s">
        <v>170</v>
      </c>
      <c r="D87" t="s">
        <v>201</v>
      </c>
      <c r="E87">
        <v>280</v>
      </c>
      <c r="F87" t="str">
        <f>D87&amp;COUNTIF($D$33:D87,D87)</f>
        <v>INTERNATIONAL1</v>
      </c>
    </row>
    <row r="88" spans="1:6" x14ac:dyDescent="0.25">
      <c r="A88" t="s">
        <v>156</v>
      </c>
      <c r="B88">
        <v>500</v>
      </c>
      <c r="C88" t="s">
        <v>170</v>
      </c>
      <c r="D88" t="s">
        <v>201</v>
      </c>
      <c r="E88">
        <v>270</v>
      </c>
      <c r="F88" t="str">
        <f>D88&amp;COUNTIF($D$33:D88,D88)</f>
        <v>INTERNATIONAL2</v>
      </c>
    </row>
    <row r="89" spans="1:6" x14ac:dyDescent="0.25">
      <c r="A89" t="s">
        <v>157</v>
      </c>
      <c r="B89">
        <v>1000</v>
      </c>
      <c r="C89" t="s">
        <v>170</v>
      </c>
      <c r="D89" t="s">
        <v>201</v>
      </c>
      <c r="E89">
        <v>260</v>
      </c>
      <c r="F89" t="str">
        <f>D89&amp;COUNTIF($D$33:D89,D89)</f>
        <v>INTERNATIONAL3</v>
      </c>
    </row>
    <row r="90" spans="1:6" x14ac:dyDescent="0.25">
      <c r="A90" t="s">
        <v>158</v>
      </c>
      <c r="B90">
        <v>2000</v>
      </c>
      <c r="C90" t="s">
        <v>170</v>
      </c>
      <c r="D90" t="s">
        <v>201</v>
      </c>
      <c r="E90">
        <v>250</v>
      </c>
      <c r="F90" t="str">
        <f>D90&amp;COUNTIF($D$33:D90,D90)</f>
        <v>INTERNATIONAL4</v>
      </c>
    </row>
    <row r="91" spans="1:6" x14ac:dyDescent="0.25">
      <c r="A91" t="s">
        <v>159</v>
      </c>
      <c r="B91">
        <v>3000</v>
      </c>
      <c r="C91" t="s">
        <v>170</v>
      </c>
      <c r="D91" t="s">
        <v>201</v>
      </c>
      <c r="E91">
        <v>240</v>
      </c>
      <c r="F91" t="str">
        <f>D91&amp;COUNTIF($D$33:D91,D91)</f>
        <v>INTERNATIONAL5</v>
      </c>
    </row>
    <row r="92" spans="1:6" x14ac:dyDescent="0.25">
      <c r="A92" t="s">
        <v>160</v>
      </c>
      <c r="B92">
        <v>4000</v>
      </c>
      <c r="C92" t="s">
        <v>170</v>
      </c>
      <c r="D92" t="s">
        <v>201</v>
      </c>
      <c r="E92">
        <v>230</v>
      </c>
      <c r="F92" t="str">
        <f>D92&amp;COUNTIF($D$33:D92,D92)</f>
        <v>INTERNATIONAL6</v>
      </c>
    </row>
    <row r="93" spans="1:6" x14ac:dyDescent="0.25">
      <c r="A93" t="s">
        <v>155</v>
      </c>
      <c r="B93">
        <v>0</v>
      </c>
      <c r="C93" t="s">
        <v>168</v>
      </c>
      <c r="D93" t="s">
        <v>201</v>
      </c>
      <c r="E93">
        <v>300</v>
      </c>
      <c r="F93" t="str">
        <f>D93&amp;COUNTIF($D$33:D93,D93)</f>
        <v>INTERNATIONAL7</v>
      </c>
    </row>
    <row r="94" spans="1:6" x14ac:dyDescent="0.25">
      <c r="A94" t="s">
        <v>156</v>
      </c>
      <c r="B94">
        <v>500</v>
      </c>
      <c r="C94" t="s">
        <v>168</v>
      </c>
      <c r="D94" t="s">
        <v>201</v>
      </c>
      <c r="E94">
        <v>290</v>
      </c>
      <c r="F94" t="str">
        <f>D94&amp;COUNTIF($D$33:D94,D94)</f>
        <v>INTERNATIONAL8</v>
      </c>
    </row>
    <row r="95" spans="1:6" x14ac:dyDescent="0.25">
      <c r="A95" t="s">
        <v>157</v>
      </c>
      <c r="B95">
        <v>1000</v>
      </c>
      <c r="C95" t="s">
        <v>168</v>
      </c>
      <c r="D95" t="s">
        <v>201</v>
      </c>
      <c r="E95">
        <v>280</v>
      </c>
      <c r="F95" t="str">
        <f>D95&amp;COUNTIF($D$33:D95,D95)</f>
        <v>INTERNATIONAL9</v>
      </c>
    </row>
    <row r="96" spans="1:6" x14ac:dyDescent="0.25">
      <c r="A96" t="s">
        <v>158</v>
      </c>
      <c r="B96">
        <v>2000</v>
      </c>
      <c r="C96" t="s">
        <v>168</v>
      </c>
      <c r="D96" t="s">
        <v>201</v>
      </c>
      <c r="E96">
        <v>270</v>
      </c>
      <c r="F96" t="str">
        <f>D96&amp;COUNTIF($D$33:D96,D96)</f>
        <v>INTERNATIONAL10</v>
      </c>
    </row>
    <row r="97" spans="1:6" x14ac:dyDescent="0.25">
      <c r="A97" t="s">
        <v>159</v>
      </c>
      <c r="B97">
        <v>3000</v>
      </c>
      <c r="C97" t="s">
        <v>168</v>
      </c>
      <c r="D97" t="s">
        <v>201</v>
      </c>
      <c r="E97">
        <v>260</v>
      </c>
      <c r="F97" t="str">
        <f>D97&amp;COUNTIF($D$33:D97,D97)</f>
        <v>INTERNATIONAL11</v>
      </c>
    </row>
    <row r="98" spans="1:6" x14ac:dyDescent="0.25">
      <c r="A98" t="s">
        <v>160</v>
      </c>
      <c r="B98">
        <v>4000</v>
      </c>
      <c r="C98" t="s">
        <v>168</v>
      </c>
      <c r="D98" t="s">
        <v>201</v>
      </c>
      <c r="E98">
        <v>250</v>
      </c>
      <c r="F98" t="str">
        <f>D98&amp;COUNTIF($D$33:D98,D98)</f>
        <v>INTERNATIONAL12</v>
      </c>
    </row>
    <row r="99" spans="1:6" x14ac:dyDescent="0.25">
      <c r="A99" t="s">
        <v>155</v>
      </c>
      <c r="B99">
        <v>0</v>
      </c>
      <c r="C99" t="s">
        <v>202</v>
      </c>
      <c r="D99" t="s">
        <v>201</v>
      </c>
      <c r="E99">
        <v>320</v>
      </c>
      <c r="F99" t="str">
        <f>D99&amp;COUNTIF($D$33:D99,D99)</f>
        <v>INTERNATIONAL13</v>
      </c>
    </row>
    <row r="100" spans="1:6" x14ac:dyDescent="0.25">
      <c r="A100" t="s">
        <v>156</v>
      </c>
      <c r="B100">
        <v>500</v>
      </c>
      <c r="C100" t="s">
        <v>202</v>
      </c>
      <c r="D100" t="s">
        <v>201</v>
      </c>
      <c r="E100">
        <v>310</v>
      </c>
      <c r="F100" t="str">
        <f>D100&amp;COUNTIF($D$33:D100,D100)</f>
        <v>INTERNATIONAL14</v>
      </c>
    </row>
    <row r="101" spans="1:6" x14ac:dyDescent="0.25">
      <c r="A101" t="s">
        <v>157</v>
      </c>
      <c r="B101">
        <v>1000</v>
      </c>
      <c r="C101" t="s">
        <v>202</v>
      </c>
      <c r="D101" t="s">
        <v>201</v>
      </c>
      <c r="E101">
        <v>300</v>
      </c>
      <c r="F101" t="str">
        <f>D101&amp;COUNTIF($D$33:D101,D101)</f>
        <v>INTERNATIONAL15</v>
      </c>
    </row>
    <row r="102" spans="1:6" x14ac:dyDescent="0.25">
      <c r="A102" t="s">
        <v>158</v>
      </c>
      <c r="B102">
        <v>2000</v>
      </c>
      <c r="C102" t="s">
        <v>202</v>
      </c>
      <c r="D102" t="s">
        <v>201</v>
      </c>
      <c r="E102">
        <v>290</v>
      </c>
      <c r="F102" t="str">
        <f>D102&amp;COUNTIF($D$33:D102,D102)</f>
        <v>INTERNATIONAL16</v>
      </c>
    </row>
    <row r="103" spans="1:6" x14ac:dyDescent="0.25">
      <c r="A103" t="s">
        <v>159</v>
      </c>
      <c r="B103">
        <v>3000</v>
      </c>
      <c r="C103" t="s">
        <v>202</v>
      </c>
      <c r="D103" t="s">
        <v>201</v>
      </c>
      <c r="E103">
        <v>280</v>
      </c>
      <c r="F103" t="str">
        <f>D103&amp;COUNTIF($D$33:D103,D103)</f>
        <v>INTERNATIONAL17</v>
      </c>
    </row>
    <row r="104" spans="1:6" x14ac:dyDescent="0.25">
      <c r="A104" t="s">
        <v>160</v>
      </c>
      <c r="B104">
        <v>4000</v>
      </c>
      <c r="C104" t="s">
        <v>202</v>
      </c>
      <c r="D104" t="s">
        <v>201</v>
      </c>
      <c r="E104">
        <v>270</v>
      </c>
      <c r="F104" t="str">
        <f>D104&amp;COUNTIF($D$33:D104,D104)</f>
        <v>INTERNATIONAL18</v>
      </c>
    </row>
  </sheetData>
  <mergeCells count="1">
    <mergeCell ref="A11:C11"/>
  </mergeCells>
  <dataValidations count="3">
    <dataValidation type="list" allowBlank="1" showInputMessage="1" showErrorMessage="1" sqref="J47" xr:uid="{AC0B2641-099A-44BE-BF7D-933924554555}">
      <formula1>"Normal,Standard,Premium"</formula1>
    </dataValidation>
    <dataValidation type="list" allowBlank="1" showInputMessage="1" showErrorMessage="1" sqref="K47" xr:uid="{B922B31F-9932-415D-856D-C735DAAC1CA7}">
      <formula1>"local,regional,national,international"</formula1>
    </dataValidation>
    <dataValidation type="list" allowBlank="1" showInputMessage="1" showErrorMessage="1" sqref="F33" xr:uid="{DFE074CF-0A71-4FBF-B381-C1A8E7EAEB76}">
      <formula1>$F$33:$F$104</formula1>
    </dataValidation>
  </dataValidations>
  <pageMargins left="0.7" right="0.7" top="0.75" bottom="0.75" header="0.3" footer="0.3"/>
  <pageSetup orientation="portrait" horizontalDpi="200" verticalDpi="200" copies="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305391-2E15-45B9-B168-27B78CD64D63}">
  <sheetPr codeName="Sheet21"/>
  <dimension ref="A1:L19"/>
  <sheetViews>
    <sheetView workbookViewId="0">
      <selection activeCell="M28" sqref="M28"/>
    </sheetView>
  </sheetViews>
  <sheetFormatPr defaultRowHeight="15" x14ac:dyDescent="0.25"/>
  <cols>
    <col min="1" max="1" width="8.42578125" bestFit="1" customWidth="1"/>
    <col min="2" max="2" width="10.28515625" bestFit="1" customWidth="1"/>
    <col min="3" max="3" width="18" bestFit="1" customWidth="1"/>
    <col min="5" max="5" width="8.42578125" bestFit="1" customWidth="1"/>
    <col min="6" max="6" width="7.140625" bestFit="1" customWidth="1"/>
  </cols>
  <sheetData>
    <row r="1" spans="1:12" x14ac:dyDescent="0.25">
      <c r="A1" t="s">
        <v>0</v>
      </c>
      <c r="B1" t="s">
        <v>10</v>
      </c>
    </row>
    <row r="2" spans="1:12" x14ac:dyDescent="0.25">
      <c r="A2" t="s">
        <v>63</v>
      </c>
      <c r="B2" t="s">
        <v>12</v>
      </c>
      <c r="C2" t="str">
        <f>A2&amp;B2</f>
        <v>ROHANDELL</v>
      </c>
      <c r="D2" t="str">
        <f>A2&amp;COUNTIF($A$2:A2,A2)</f>
        <v>ROHAN1</v>
      </c>
      <c r="E2" t="s">
        <v>192</v>
      </c>
      <c r="F2">
        <f>MATCH(E2,D2:D19,0)</f>
        <v>12</v>
      </c>
      <c r="G2" t="s">
        <v>133</v>
      </c>
      <c r="H2" t="s">
        <v>13</v>
      </c>
      <c r="I2">
        <f>MATCH(G2&amp;H2,C2:C19,0)</f>
        <v>2</v>
      </c>
      <c r="J2" t="s">
        <v>133</v>
      </c>
      <c r="K2" t="s">
        <v>13</v>
      </c>
      <c r="L2">
        <f t="array" ref="L2">MATCH(J2&amp;K2,A2:A19&amp;B2:B19,0)</f>
        <v>2</v>
      </c>
    </row>
    <row r="3" spans="1:12" x14ac:dyDescent="0.25">
      <c r="A3" t="s">
        <v>133</v>
      </c>
      <c r="B3" t="s">
        <v>13</v>
      </c>
      <c r="C3" t="str">
        <f t="shared" ref="C3:C19" si="0">A3&amp;B3</f>
        <v>MOHITLENOVO</v>
      </c>
      <c r="D3" t="str">
        <f>A3&amp;COUNTIF($A$2:A3,A3)</f>
        <v>MOHIT1</v>
      </c>
    </row>
    <row r="4" spans="1:12" x14ac:dyDescent="0.25">
      <c r="A4" t="s">
        <v>64</v>
      </c>
      <c r="B4" t="s">
        <v>14</v>
      </c>
      <c r="C4" t="str">
        <f t="shared" si="0"/>
        <v>SOHANACER</v>
      </c>
      <c r="D4" t="str">
        <f>A4&amp;COUNTIF($A$2:A4,A4)</f>
        <v>SOHAN1</v>
      </c>
    </row>
    <row r="5" spans="1:12" x14ac:dyDescent="0.25">
      <c r="A5" t="s">
        <v>63</v>
      </c>
      <c r="B5" t="s">
        <v>190</v>
      </c>
      <c r="C5" t="str">
        <f t="shared" si="0"/>
        <v>ROHANINTEL</v>
      </c>
      <c r="D5" t="str">
        <f>A5&amp;COUNTIF($A$2:A5,A5)</f>
        <v>ROHAN2</v>
      </c>
    </row>
    <row r="6" spans="1:12" x14ac:dyDescent="0.25">
      <c r="A6" t="s">
        <v>133</v>
      </c>
      <c r="B6" t="s">
        <v>191</v>
      </c>
      <c r="C6" t="str">
        <f t="shared" si="0"/>
        <v>MOHITINTEX</v>
      </c>
      <c r="D6" t="str">
        <f>A6&amp;COUNTIF($A$2:A6,A6)</f>
        <v>MOHIT2</v>
      </c>
    </row>
    <row r="7" spans="1:12" x14ac:dyDescent="0.25">
      <c r="A7" t="s">
        <v>64</v>
      </c>
      <c r="B7" t="s">
        <v>12</v>
      </c>
      <c r="C7" t="str">
        <f t="shared" si="0"/>
        <v>SOHANDELL</v>
      </c>
      <c r="D7" t="str">
        <f>A7&amp;COUNTIF($A$2:A7,A7)</f>
        <v>SOHAN2</v>
      </c>
    </row>
    <row r="8" spans="1:12" x14ac:dyDescent="0.25">
      <c r="A8" t="s">
        <v>63</v>
      </c>
      <c r="B8" t="s">
        <v>13</v>
      </c>
      <c r="C8" t="str">
        <f t="shared" si="0"/>
        <v>ROHANLENOVO</v>
      </c>
      <c r="D8" t="str">
        <f>A8&amp;COUNTIF($A$2:A8,A8)</f>
        <v>ROHAN3</v>
      </c>
    </row>
    <row r="9" spans="1:12" x14ac:dyDescent="0.25">
      <c r="A9" t="s">
        <v>133</v>
      </c>
      <c r="B9" t="s">
        <v>14</v>
      </c>
      <c r="C9" t="str">
        <f t="shared" si="0"/>
        <v>MOHITACER</v>
      </c>
      <c r="D9" t="str">
        <f>A9&amp;COUNTIF($A$2:A9,A9)</f>
        <v>MOHIT3</v>
      </c>
    </row>
    <row r="10" spans="1:12" x14ac:dyDescent="0.25">
      <c r="A10" t="s">
        <v>64</v>
      </c>
      <c r="B10" t="s">
        <v>190</v>
      </c>
      <c r="C10" t="str">
        <f t="shared" si="0"/>
        <v>SOHANINTEL</v>
      </c>
      <c r="D10" t="str">
        <f>A10&amp;COUNTIF($A$2:A10,A10)</f>
        <v>SOHAN3</v>
      </c>
    </row>
    <row r="11" spans="1:12" x14ac:dyDescent="0.25">
      <c r="A11" t="s">
        <v>63</v>
      </c>
      <c r="B11" t="s">
        <v>12</v>
      </c>
      <c r="C11" t="str">
        <f t="shared" si="0"/>
        <v>ROHANDELL</v>
      </c>
      <c r="D11" t="str">
        <f>A11&amp;COUNTIF($A$2:A11,A11)</f>
        <v>ROHAN4</v>
      </c>
    </row>
    <row r="12" spans="1:12" x14ac:dyDescent="0.25">
      <c r="A12" t="s">
        <v>133</v>
      </c>
      <c r="B12" t="s">
        <v>13</v>
      </c>
      <c r="C12" t="str">
        <f t="shared" si="0"/>
        <v>MOHITLENOVO</v>
      </c>
      <c r="D12" t="str">
        <f>A12&amp;COUNTIF($A$2:A12,A12)</f>
        <v>MOHIT4</v>
      </c>
    </row>
    <row r="13" spans="1:12" x14ac:dyDescent="0.25">
      <c r="A13" t="s">
        <v>64</v>
      </c>
      <c r="B13" t="s">
        <v>14</v>
      </c>
      <c r="C13" t="str">
        <f t="shared" si="0"/>
        <v>SOHANACER</v>
      </c>
      <c r="D13" t="str">
        <f>A13&amp;COUNTIF($A$2:A13,A13)</f>
        <v>SOHAN4</v>
      </c>
    </row>
    <row r="14" spans="1:12" x14ac:dyDescent="0.25">
      <c r="A14" t="s">
        <v>187</v>
      </c>
      <c r="B14" t="s">
        <v>12</v>
      </c>
      <c r="C14" t="str">
        <f t="shared" si="0"/>
        <v>MOHANDELL</v>
      </c>
      <c r="D14" t="str">
        <f>A14&amp;COUNTIF($A$2:A14,A14)</f>
        <v>MOHAN1</v>
      </c>
    </row>
    <row r="15" spans="1:12" x14ac:dyDescent="0.25">
      <c r="A15" t="s">
        <v>63</v>
      </c>
      <c r="B15" t="s">
        <v>13</v>
      </c>
      <c r="C15" t="str">
        <f t="shared" si="0"/>
        <v>ROHANLENOVO</v>
      </c>
      <c r="D15" t="str">
        <f>A15&amp;COUNTIF($A$2:A15,A15)</f>
        <v>ROHAN5</v>
      </c>
    </row>
    <row r="16" spans="1:12" x14ac:dyDescent="0.25">
      <c r="A16" t="s">
        <v>188</v>
      </c>
      <c r="B16" t="s">
        <v>14</v>
      </c>
      <c r="C16" t="str">
        <f t="shared" si="0"/>
        <v>RAJUACER</v>
      </c>
      <c r="D16" t="str">
        <f>A16&amp;COUNTIF($A$2:A16,A16)</f>
        <v>RAJU1</v>
      </c>
    </row>
    <row r="17" spans="1:4" x14ac:dyDescent="0.25">
      <c r="A17" t="s">
        <v>47</v>
      </c>
      <c r="B17" t="s">
        <v>190</v>
      </c>
      <c r="C17" t="str">
        <f t="shared" si="0"/>
        <v>RAMINTEL</v>
      </c>
      <c r="D17" t="str">
        <f>A17&amp;COUNTIF($A$2:A17,A17)</f>
        <v>RAM1</v>
      </c>
    </row>
    <row r="18" spans="1:4" x14ac:dyDescent="0.25">
      <c r="A18" t="s">
        <v>112</v>
      </c>
      <c r="B18" t="s">
        <v>191</v>
      </c>
      <c r="C18" t="str">
        <f t="shared" si="0"/>
        <v>DINESHINTEX</v>
      </c>
      <c r="D18" t="str">
        <f>A18&amp;COUNTIF($A$2:A18,A18)</f>
        <v>DINESH1</v>
      </c>
    </row>
    <row r="19" spans="1:4" x14ac:dyDescent="0.25">
      <c r="A19" t="s">
        <v>189</v>
      </c>
      <c r="B19" t="s">
        <v>17</v>
      </c>
      <c r="C19" t="str">
        <f t="shared" si="0"/>
        <v>RAMESHMACBOOK</v>
      </c>
      <c r="D19" t="str">
        <f>A19&amp;COUNTIF($A$2:A19,A19)</f>
        <v>RAMESH1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CD49F-E152-437D-A1B7-CC0A273DD879}">
  <sheetPr codeName="Sheet22"/>
  <dimension ref="A1:K19"/>
  <sheetViews>
    <sheetView workbookViewId="0">
      <selection activeCell="M28" sqref="M28"/>
    </sheetView>
  </sheetViews>
  <sheetFormatPr defaultRowHeight="15" x14ac:dyDescent="0.25"/>
  <cols>
    <col min="1" max="1" width="8.42578125" bestFit="1" customWidth="1"/>
    <col min="2" max="2" width="10.28515625" bestFit="1" customWidth="1"/>
    <col min="3" max="3" width="6" bestFit="1" customWidth="1"/>
    <col min="4" max="4" width="8.7109375" bestFit="1" customWidth="1"/>
    <col min="5" max="5" width="5" bestFit="1" customWidth="1"/>
    <col min="6" max="6" width="14.85546875" bestFit="1" customWidth="1"/>
  </cols>
  <sheetData>
    <row r="1" spans="1:11" x14ac:dyDescent="0.25">
      <c r="A1" t="s">
        <v>0</v>
      </c>
      <c r="B1" t="s">
        <v>10</v>
      </c>
      <c r="C1" t="s">
        <v>193</v>
      </c>
      <c r="D1" t="s">
        <v>194</v>
      </c>
      <c r="E1" t="s">
        <v>195</v>
      </c>
      <c r="F1" t="s">
        <v>196</v>
      </c>
      <c r="G1" t="s">
        <v>197</v>
      </c>
    </row>
    <row r="2" spans="1:11" x14ac:dyDescent="0.25">
      <c r="A2" t="s">
        <v>63</v>
      </c>
      <c r="B2" t="s">
        <v>12</v>
      </c>
      <c r="C2">
        <v>300</v>
      </c>
      <c r="D2">
        <v>129</v>
      </c>
      <c r="E2">
        <v>147</v>
      </c>
      <c r="F2">
        <v>495</v>
      </c>
      <c r="G2">
        <v>357</v>
      </c>
    </row>
    <row r="3" spans="1:11" x14ac:dyDescent="0.25">
      <c r="A3" t="s">
        <v>133</v>
      </c>
      <c r="B3" t="s">
        <v>13</v>
      </c>
      <c r="C3">
        <v>638</v>
      </c>
      <c r="D3">
        <v>675</v>
      </c>
      <c r="E3">
        <v>258</v>
      </c>
      <c r="F3">
        <v>262</v>
      </c>
      <c r="G3">
        <v>643</v>
      </c>
      <c r="H3" t="s">
        <v>63</v>
      </c>
      <c r="I3" t="s">
        <v>190</v>
      </c>
      <c r="J3" t="s">
        <v>195</v>
      </c>
      <c r="K3">
        <f t="array" ref="K3">INDEX(C2:G19,MATCH(H3&amp;I3,A2:A19&amp;B2:B19,0),MATCH(J3,C1:G1,0))</f>
        <v>425</v>
      </c>
    </row>
    <row r="4" spans="1:11" x14ac:dyDescent="0.25">
      <c r="A4" t="s">
        <v>64</v>
      </c>
      <c r="B4" t="s">
        <v>14</v>
      </c>
      <c r="C4">
        <v>601</v>
      </c>
      <c r="D4">
        <v>521</v>
      </c>
      <c r="E4">
        <v>149</v>
      </c>
      <c r="F4">
        <v>719</v>
      </c>
      <c r="G4">
        <v>530</v>
      </c>
    </row>
    <row r="5" spans="1:11" x14ac:dyDescent="0.25">
      <c r="A5" t="s">
        <v>63</v>
      </c>
      <c r="B5" t="s">
        <v>190</v>
      </c>
      <c r="C5">
        <v>625</v>
      </c>
      <c r="D5">
        <v>887</v>
      </c>
      <c r="E5">
        <v>425</v>
      </c>
      <c r="F5">
        <v>730</v>
      </c>
      <c r="G5">
        <v>804</v>
      </c>
    </row>
    <row r="6" spans="1:11" x14ac:dyDescent="0.25">
      <c r="A6" t="s">
        <v>133</v>
      </c>
      <c r="B6" t="s">
        <v>191</v>
      </c>
      <c r="C6">
        <v>703</v>
      </c>
      <c r="D6">
        <v>961</v>
      </c>
      <c r="E6">
        <v>219</v>
      </c>
      <c r="F6">
        <v>560</v>
      </c>
      <c r="G6">
        <v>995</v>
      </c>
    </row>
    <row r="7" spans="1:11" x14ac:dyDescent="0.25">
      <c r="A7" t="s">
        <v>64</v>
      </c>
      <c r="B7" t="s">
        <v>12</v>
      </c>
      <c r="C7">
        <v>676</v>
      </c>
      <c r="D7">
        <v>737</v>
      </c>
      <c r="E7">
        <v>118</v>
      </c>
      <c r="F7">
        <v>568</v>
      </c>
      <c r="G7">
        <v>412</v>
      </c>
    </row>
    <row r="8" spans="1:11" x14ac:dyDescent="0.25">
      <c r="A8" t="s">
        <v>63</v>
      </c>
      <c r="B8" t="s">
        <v>13</v>
      </c>
      <c r="C8">
        <v>162</v>
      </c>
      <c r="D8">
        <v>983</v>
      </c>
      <c r="E8">
        <v>351</v>
      </c>
      <c r="F8">
        <v>108</v>
      </c>
      <c r="G8">
        <v>428</v>
      </c>
    </row>
    <row r="9" spans="1:11" x14ac:dyDescent="0.25">
      <c r="A9" t="s">
        <v>133</v>
      </c>
      <c r="B9" t="s">
        <v>14</v>
      </c>
      <c r="C9">
        <v>780</v>
      </c>
      <c r="D9">
        <v>632</v>
      </c>
      <c r="E9">
        <v>257</v>
      </c>
      <c r="F9">
        <v>166</v>
      </c>
      <c r="G9">
        <v>642</v>
      </c>
    </row>
    <row r="10" spans="1:11" x14ac:dyDescent="0.25">
      <c r="A10" t="s">
        <v>64</v>
      </c>
      <c r="B10" t="s">
        <v>190</v>
      </c>
      <c r="C10">
        <v>803</v>
      </c>
      <c r="D10">
        <v>661</v>
      </c>
      <c r="E10">
        <v>188</v>
      </c>
      <c r="F10">
        <v>266</v>
      </c>
      <c r="G10">
        <v>375</v>
      </c>
    </row>
    <row r="11" spans="1:11" x14ac:dyDescent="0.25">
      <c r="A11" t="s">
        <v>63</v>
      </c>
      <c r="B11" t="s">
        <v>12</v>
      </c>
      <c r="C11">
        <v>100</v>
      </c>
      <c r="D11">
        <v>478</v>
      </c>
      <c r="E11">
        <v>221</v>
      </c>
      <c r="F11">
        <v>920</v>
      </c>
      <c r="G11">
        <v>872</v>
      </c>
    </row>
    <row r="12" spans="1:11" x14ac:dyDescent="0.25">
      <c r="A12" t="s">
        <v>133</v>
      </c>
      <c r="B12" t="s">
        <v>13</v>
      </c>
      <c r="C12">
        <v>987</v>
      </c>
      <c r="D12">
        <v>771</v>
      </c>
      <c r="E12">
        <v>387</v>
      </c>
      <c r="F12">
        <v>589</v>
      </c>
      <c r="G12">
        <v>607</v>
      </c>
    </row>
    <row r="13" spans="1:11" x14ac:dyDescent="0.25">
      <c r="A13" t="s">
        <v>64</v>
      </c>
      <c r="B13" t="s">
        <v>14</v>
      </c>
      <c r="C13">
        <v>927</v>
      </c>
      <c r="D13">
        <v>809</v>
      </c>
      <c r="E13">
        <v>317</v>
      </c>
      <c r="F13">
        <v>894</v>
      </c>
      <c r="G13">
        <v>436</v>
      </c>
    </row>
    <row r="14" spans="1:11" x14ac:dyDescent="0.25">
      <c r="A14" t="s">
        <v>187</v>
      </c>
      <c r="B14" t="s">
        <v>12</v>
      </c>
      <c r="C14">
        <v>824</v>
      </c>
      <c r="D14">
        <v>534</v>
      </c>
      <c r="E14">
        <v>952</v>
      </c>
      <c r="F14">
        <v>738</v>
      </c>
      <c r="G14">
        <v>605</v>
      </c>
    </row>
    <row r="15" spans="1:11" x14ac:dyDescent="0.25">
      <c r="A15" t="s">
        <v>63</v>
      </c>
      <c r="B15" t="s">
        <v>13</v>
      </c>
      <c r="C15">
        <v>759</v>
      </c>
      <c r="D15">
        <v>489</v>
      </c>
      <c r="E15">
        <v>677</v>
      </c>
      <c r="F15">
        <v>739</v>
      </c>
      <c r="G15">
        <v>665</v>
      </c>
      <c r="J15" s="5"/>
    </row>
    <row r="16" spans="1:11" x14ac:dyDescent="0.25">
      <c r="A16" t="s">
        <v>188</v>
      </c>
      <c r="B16" t="s">
        <v>14</v>
      </c>
      <c r="C16">
        <v>169</v>
      </c>
      <c r="D16">
        <v>213</v>
      </c>
      <c r="E16">
        <v>190</v>
      </c>
      <c r="F16">
        <v>961</v>
      </c>
      <c r="G16">
        <v>627</v>
      </c>
    </row>
    <row r="17" spans="1:7" x14ac:dyDescent="0.25">
      <c r="A17" t="s">
        <v>47</v>
      </c>
      <c r="B17" t="s">
        <v>190</v>
      </c>
      <c r="C17">
        <v>570</v>
      </c>
      <c r="D17">
        <v>543</v>
      </c>
      <c r="E17">
        <v>739</v>
      </c>
      <c r="F17">
        <v>159</v>
      </c>
      <c r="G17">
        <v>375</v>
      </c>
    </row>
    <row r="18" spans="1:7" x14ac:dyDescent="0.25">
      <c r="A18" t="s">
        <v>112</v>
      </c>
      <c r="B18" t="s">
        <v>191</v>
      </c>
      <c r="C18">
        <v>268</v>
      </c>
      <c r="D18">
        <v>206</v>
      </c>
      <c r="E18">
        <v>136</v>
      </c>
      <c r="F18">
        <v>846</v>
      </c>
      <c r="G18">
        <v>836</v>
      </c>
    </row>
    <row r="19" spans="1:7" x14ac:dyDescent="0.25">
      <c r="A19" t="s">
        <v>189</v>
      </c>
      <c r="B19" t="s">
        <v>17</v>
      </c>
      <c r="C19">
        <v>614</v>
      </c>
      <c r="D19">
        <v>994</v>
      </c>
      <c r="E19">
        <v>227</v>
      </c>
      <c r="F19">
        <v>271</v>
      </c>
      <c r="G19">
        <v>263</v>
      </c>
    </row>
  </sheetData>
  <dataConsolidate/>
  <conditionalFormatting sqref="E1:E1048576">
    <cfRule type="cellIs" dxfId="17" priority="1" operator="equal">
      <formula>425</formula>
    </cfRule>
    <cfRule type="cellIs" dxfId="16" priority="2" operator="equal">
      <formula>445</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3F6F6-65D1-4D45-89A1-E563F99DCF4D}">
  <sheetPr codeName="Sheet23"/>
  <dimension ref="A1:R31"/>
  <sheetViews>
    <sheetView workbookViewId="0">
      <selection activeCell="M28" sqref="M28"/>
    </sheetView>
  </sheetViews>
  <sheetFormatPr defaultRowHeight="15" x14ac:dyDescent="0.25"/>
  <sheetData>
    <row r="1" spans="1:18" x14ac:dyDescent="0.25">
      <c r="G1" s="49" t="s">
        <v>219</v>
      </c>
      <c r="H1" s="49"/>
      <c r="I1" s="49"/>
      <c r="J1" s="49"/>
      <c r="K1" s="49"/>
      <c r="L1" s="49"/>
      <c r="M1" s="49"/>
    </row>
    <row r="2" spans="1:18" x14ac:dyDescent="0.25">
      <c r="G2" s="49"/>
      <c r="H2" s="49"/>
      <c r="I2" s="49"/>
      <c r="J2" s="49"/>
      <c r="K2" s="49"/>
      <c r="L2" s="49"/>
      <c r="M2" s="49"/>
    </row>
    <row r="3" spans="1:18" x14ac:dyDescent="0.25">
      <c r="G3" s="49"/>
      <c r="H3" s="49"/>
      <c r="I3" s="49"/>
      <c r="J3" s="49"/>
      <c r="K3" s="49"/>
      <c r="L3" s="49"/>
      <c r="M3" s="49"/>
    </row>
    <row r="4" spans="1:18" x14ac:dyDescent="0.25">
      <c r="A4" s="7" t="s">
        <v>0</v>
      </c>
      <c r="B4" s="7" t="s">
        <v>10</v>
      </c>
      <c r="C4" s="9" t="s">
        <v>206</v>
      </c>
      <c r="D4" s="9" t="s">
        <v>207</v>
      </c>
      <c r="E4" s="9" t="s">
        <v>208</v>
      </c>
      <c r="F4" s="9" t="s">
        <v>210</v>
      </c>
      <c r="G4" s="9" t="s">
        <v>211</v>
      </c>
      <c r="H4" s="9" t="s">
        <v>212</v>
      </c>
      <c r="J4" t="s">
        <v>112</v>
      </c>
      <c r="K4">
        <f>VLOOKUP(J4,A4:H22,5,0)</f>
        <v>472</v>
      </c>
      <c r="M4" t="s">
        <v>220</v>
      </c>
      <c r="N4">
        <f>VLOOKUP(M4,A4:H22,6,0)</f>
        <v>335</v>
      </c>
    </row>
    <row r="5" spans="1:18" x14ac:dyDescent="0.25">
      <c r="A5" s="4" t="s">
        <v>112</v>
      </c>
      <c r="B5" s="4" t="s">
        <v>12</v>
      </c>
      <c r="C5" s="8">
        <v>172</v>
      </c>
      <c r="D5" s="8">
        <v>143</v>
      </c>
      <c r="E5" s="8">
        <v>472</v>
      </c>
      <c r="F5" s="8">
        <v>199</v>
      </c>
      <c r="G5" s="8">
        <v>100</v>
      </c>
      <c r="H5" s="8">
        <v>179</v>
      </c>
    </row>
    <row r="6" spans="1:18" x14ac:dyDescent="0.25">
      <c r="A6" s="4" t="s">
        <v>189</v>
      </c>
      <c r="B6" s="4" t="s">
        <v>13</v>
      </c>
      <c r="C6" s="8">
        <v>594</v>
      </c>
      <c r="D6" s="8">
        <v>450</v>
      </c>
      <c r="E6" s="8">
        <v>677</v>
      </c>
      <c r="F6" s="8">
        <v>870</v>
      </c>
      <c r="G6" s="8">
        <v>136</v>
      </c>
      <c r="H6" s="8">
        <v>268</v>
      </c>
      <c r="I6" t="s">
        <v>209</v>
      </c>
      <c r="J6" t="s">
        <v>189</v>
      </c>
      <c r="K6">
        <f>VLOOKUP(J6,A4:H22,MATCH(I6,A4:H4,0),0)</f>
        <v>450</v>
      </c>
      <c r="L6" s="2" t="s">
        <v>46</v>
      </c>
      <c r="M6" s="2" t="s">
        <v>10</v>
      </c>
      <c r="N6" t="str">
        <f>VLOOKUP(L6,A4:H22,MATCH(M6,A4:H4,0),0)</f>
        <v>INTEX</v>
      </c>
    </row>
    <row r="7" spans="1:18" x14ac:dyDescent="0.25">
      <c r="A7" s="4" t="s">
        <v>48</v>
      </c>
      <c r="B7" s="4" t="s">
        <v>17</v>
      </c>
      <c r="C7" s="8">
        <v>191</v>
      </c>
      <c r="D7" s="8">
        <v>922</v>
      </c>
      <c r="E7" s="8">
        <v>549</v>
      </c>
      <c r="F7" s="8">
        <v>335</v>
      </c>
      <c r="G7" s="8">
        <v>883</v>
      </c>
      <c r="H7" s="8">
        <v>715</v>
      </c>
    </row>
    <row r="8" spans="1:18" x14ac:dyDescent="0.25">
      <c r="A8" s="4" t="s">
        <v>46</v>
      </c>
      <c r="B8" s="4" t="s">
        <v>191</v>
      </c>
      <c r="C8" s="8">
        <v>938</v>
      </c>
      <c r="D8" s="8">
        <v>362</v>
      </c>
      <c r="E8" s="8">
        <v>661</v>
      </c>
      <c r="F8" s="8">
        <v>409</v>
      </c>
      <c r="G8" s="8">
        <v>572</v>
      </c>
      <c r="H8" s="8">
        <v>446</v>
      </c>
    </row>
    <row r="9" spans="1:18" x14ac:dyDescent="0.25">
      <c r="A9" s="4" t="s">
        <v>66</v>
      </c>
      <c r="B9" s="4" t="s">
        <v>12</v>
      </c>
      <c r="C9" s="8">
        <v>803</v>
      </c>
      <c r="D9" s="8">
        <v>381</v>
      </c>
      <c r="E9" s="8">
        <v>803</v>
      </c>
      <c r="F9" s="8">
        <v>205</v>
      </c>
      <c r="G9" s="8">
        <v>792</v>
      </c>
      <c r="H9" s="8">
        <v>458</v>
      </c>
    </row>
    <row r="10" spans="1:18" x14ac:dyDescent="0.25">
      <c r="A10" s="4" t="s">
        <v>2</v>
      </c>
      <c r="B10" s="4" t="s">
        <v>13</v>
      </c>
      <c r="C10" s="8">
        <v>578</v>
      </c>
      <c r="D10" s="8">
        <v>376</v>
      </c>
      <c r="E10" s="8">
        <v>571</v>
      </c>
      <c r="F10" s="8">
        <v>326</v>
      </c>
      <c r="G10" s="8">
        <v>475</v>
      </c>
      <c r="H10" s="8">
        <v>141</v>
      </c>
    </row>
    <row r="11" spans="1:18" x14ac:dyDescent="0.25">
      <c r="A11" s="4" t="s">
        <v>139</v>
      </c>
      <c r="B11" s="4" t="s">
        <v>12</v>
      </c>
      <c r="C11" s="8">
        <v>123</v>
      </c>
      <c r="D11" s="8">
        <v>850</v>
      </c>
      <c r="E11" s="8">
        <v>551</v>
      </c>
      <c r="F11" s="8">
        <v>993</v>
      </c>
      <c r="G11" s="8">
        <v>668</v>
      </c>
      <c r="H11" s="8">
        <v>519</v>
      </c>
      <c r="K11" t="s">
        <v>0</v>
      </c>
      <c r="L11" t="s">
        <v>10</v>
      </c>
      <c r="M11" t="s">
        <v>206</v>
      </c>
      <c r="N11" t="s">
        <v>207</v>
      </c>
      <c r="O11" t="s">
        <v>208</v>
      </c>
      <c r="P11" t="s">
        <v>210</v>
      </c>
      <c r="Q11" t="s">
        <v>211</v>
      </c>
      <c r="R11" t="s">
        <v>212</v>
      </c>
    </row>
    <row r="12" spans="1:18" x14ac:dyDescent="0.25">
      <c r="A12" s="4" t="s">
        <v>213</v>
      </c>
      <c r="B12" s="4" t="s">
        <v>12</v>
      </c>
      <c r="C12" s="8">
        <v>493</v>
      </c>
      <c r="D12" s="8">
        <v>617</v>
      </c>
      <c r="E12" s="8">
        <v>787</v>
      </c>
      <c r="F12" s="8">
        <v>476</v>
      </c>
      <c r="G12" s="8">
        <v>293</v>
      </c>
      <c r="H12" s="8">
        <v>428</v>
      </c>
      <c r="K12" t="s">
        <v>139</v>
      </c>
      <c r="L12" t="str">
        <f>VLOOKUP($K12,$A$4:$H$22,MATCH(L$11,$A$4:$H$4,0),0)</f>
        <v>DELL</v>
      </c>
      <c r="M12">
        <f>VLOOKUP($K12,$A$4:$H$22,MATCH(M$11,$A$4:$H$4,0),0)</f>
        <v>123</v>
      </c>
      <c r="N12">
        <f t="shared" ref="M12:O14" si="0">VLOOKUP($K12,$A$4:$H$22,MATCH(N$11,$A$4:$H$4,0),0)</f>
        <v>850</v>
      </c>
      <c r="O12">
        <f t="shared" si="0"/>
        <v>551</v>
      </c>
      <c r="P12">
        <f t="shared" ref="P12:R14" si="1">VLOOKUP($K12,$A$4:$H$22,MATCH(P$11,$A$4:$H$4,0),0)</f>
        <v>993</v>
      </c>
      <c r="Q12">
        <f t="shared" si="1"/>
        <v>668</v>
      </c>
      <c r="R12">
        <f t="shared" si="1"/>
        <v>519</v>
      </c>
    </row>
    <row r="13" spans="1:18" x14ac:dyDescent="0.25">
      <c r="A13" s="4" t="s">
        <v>214</v>
      </c>
      <c r="B13" s="4" t="s">
        <v>13</v>
      </c>
      <c r="C13" s="8">
        <v>297</v>
      </c>
      <c r="D13" s="8">
        <v>557</v>
      </c>
      <c r="E13" s="8">
        <v>719</v>
      </c>
      <c r="F13" s="8">
        <v>294</v>
      </c>
      <c r="G13" s="8">
        <v>715</v>
      </c>
      <c r="H13" s="8">
        <v>434</v>
      </c>
      <c r="K13" t="s">
        <v>214</v>
      </c>
      <c r="L13" t="str">
        <f>VLOOKUP($K13,$A$4:$H$22,MATCH(L$11,$A$4:$H$4,0),0)</f>
        <v>LENOVO</v>
      </c>
      <c r="M13">
        <f>VLOOKUP($K13,$A$4:$H$22,MATCH(M$11,$A$4:$H$4,0),0)</f>
        <v>297</v>
      </c>
      <c r="N13">
        <f t="shared" si="0"/>
        <v>557</v>
      </c>
      <c r="O13">
        <f t="shared" si="0"/>
        <v>719</v>
      </c>
      <c r="P13">
        <f t="shared" si="1"/>
        <v>294</v>
      </c>
      <c r="Q13">
        <f t="shared" si="1"/>
        <v>715</v>
      </c>
      <c r="R13">
        <f t="shared" si="1"/>
        <v>434</v>
      </c>
    </row>
    <row r="14" spans="1:18" x14ac:dyDescent="0.25">
      <c r="A14" s="4" t="s">
        <v>215</v>
      </c>
      <c r="B14" s="4" t="s">
        <v>17</v>
      </c>
      <c r="C14" s="8">
        <v>158</v>
      </c>
      <c r="D14" s="8">
        <v>592</v>
      </c>
      <c r="E14" s="8">
        <v>801</v>
      </c>
      <c r="F14" s="8">
        <v>449</v>
      </c>
      <c r="G14" s="8">
        <v>605</v>
      </c>
      <c r="H14" s="8">
        <v>273</v>
      </c>
      <c r="K14" t="s">
        <v>50</v>
      </c>
      <c r="L14" t="str">
        <f t="shared" ref="L14" si="2">VLOOKUP($K14,$A$4:$H$22,MATCH(L$11,$A$4:$H$4,0),0)</f>
        <v>LENOVO</v>
      </c>
      <c r="M14">
        <f t="shared" si="0"/>
        <v>497</v>
      </c>
      <c r="N14">
        <f>VLOOKUP($K14,$A$4:$H$22,MATCH(N$11,$A$4:$H$4,0),0)</f>
        <v>643</v>
      </c>
      <c r="O14">
        <f t="shared" si="0"/>
        <v>598</v>
      </c>
      <c r="P14">
        <f t="shared" si="1"/>
        <v>711</v>
      </c>
      <c r="Q14">
        <f t="shared" si="1"/>
        <v>172</v>
      </c>
      <c r="R14">
        <f t="shared" si="1"/>
        <v>918</v>
      </c>
    </row>
    <row r="15" spans="1:18" x14ac:dyDescent="0.25">
      <c r="A15" s="4" t="s">
        <v>216</v>
      </c>
      <c r="B15" s="4" t="s">
        <v>191</v>
      </c>
      <c r="C15" s="8">
        <v>791</v>
      </c>
      <c r="D15" s="8">
        <v>322</v>
      </c>
      <c r="E15" s="8">
        <v>124</v>
      </c>
      <c r="F15" s="8">
        <v>470</v>
      </c>
      <c r="G15" s="8">
        <v>250</v>
      </c>
      <c r="H15" s="8">
        <v>514</v>
      </c>
    </row>
    <row r="16" spans="1:18" x14ac:dyDescent="0.25">
      <c r="A16" s="4" t="s">
        <v>114</v>
      </c>
      <c r="B16" s="4" t="s">
        <v>12</v>
      </c>
      <c r="C16" s="8">
        <v>431</v>
      </c>
      <c r="D16" s="8">
        <v>773</v>
      </c>
      <c r="E16" s="8">
        <v>731</v>
      </c>
      <c r="F16" s="8">
        <v>643</v>
      </c>
      <c r="G16" s="8">
        <v>794</v>
      </c>
      <c r="H16" s="8">
        <v>782</v>
      </c>
    </row>
    <row r="17" spans="1:8" x14ac:dyDescent="0.25">
      <c r="A17" s="4" t="s">
        <v>50</v>
      </c>
      <c r="B17" s="4" t="s">
        <v>13</v>
      </c>
      <c r="C17" s="8">
        <v>497</v>
      </c>
      <c r="D17" s="8">
        <v>643</v>
      </c>
      <c r="E17" s="8">
        <v>598</v>
      </c>
      <c r="F17" s="8">
        <v>711</v>
      </c>
      <c r="G17" s="8">
        <v>172</v>
      </c>
      <c r="H17" s="8">
        <v>918</v>
      </c>
    </row>
    <row r="18" spans="1:8" x14ac:dyDescent="0.25">
      <c r="A18" s="4" t="s">
        <v>115</v>
      </c>
      <c r="B18" s="4" t="s">
        <v>12</v>
      </c>
      <c r="C18" s="8">
        <v>610</v>
      </c>
      <c r="D18" s="8">
        <v>104</v>
      </c>
      <c r="E18" s="8">
        <v>274</v>
      </c>
      <c r="F18" s="8">
        <v>434</v>
      </c>
      <c r="G18" s="8">
        <v>177</v>
      </c>
      <c r="H18" s="8">
        <v>922</v>
      </c>
    </row>
    <row r="19" spans="1:8" x14ac:dyDescent="0.25">
      <c r="A19" s="4" t="s">
        <v>217</v>
      </c>
      <c r="B19" s="4" t="s">
        <v>13</v>
      </c>
      <c r="C19" s="8">
        <v>557</v>
      </c>
      <c r="D19" s="8">
        <v>517</v>
      </c>
      <c r="E19" s="8">
        <v>555</v>
      </c>
      <c r="F19" s="8">
        <v>600</v>
      </c>
      <c r="G19" s="8">
        <v>732</v>
      </c>
      <c r="H19" s="8">
        <v>647</v>
      </c>
    </row>
    <row r="20" spans="1:8" x14ac:dyDescent="0.25">
      <c r="A20" s="4" t="s">
        <v>218</v>
      </c>
      <c r="B20" s="4" t="s">
        <v>17</v>
      </c>
      <c r="C20" s="8">
        <v>620</v>
      </c>
      <c r="D20" s="8">
        <v>620</v>
      </c>
      <c r="E20" s="8">
        <v>728</v>
      </c>
      <c r="F20" s="8">
        <v>611</v>
      </c>
      <c r="G20" s="8">
        <v>462</v>
      </c>
      <c r="H20" s="8">
        <v>595</v>
      </c>
    </row>
    <row r="21" spans="1:8" x14ac:dyDescent="0.25">
      <c r="A21" s="4" t="s">
        <v>7</v>
      </c>
      <c r="B21" s="4" t="s">
        <v>191</v>
      </c>
      <c r="C21" s="8">
        <v>593</v>
      </c>
      <c r="D21" s="8">
        <v>688</v>
      </c>
      <c r="E21" s="8">
        <v>836</v>
      </c>
      <c r="F21" s="8">
        <v>293</v>
      </c>
      <c r="G21" s="8">
        <v>793</v>
      </c>
      <c r="H21" s="8">
        <v>294</v>
      </c>
    </row>
    <row r="22" spans="1:8" x14ac:dyDescent="0.25">
      <c r="A22" s="4" t="s">
        <v>6</v>
      </c>
      <c r="B22" s="4" t="s">
        <v>12</v>
      </c>
      <c r="C22" s="8">
        <v>282</v>
      </c>
      <c r="D22" s="8">
        <v>801</v>
      </c>
      <c r="E22" s="8">
        <v>964</v>
      </c>
      <c r="F22" s="8">
        <v>765</v>
      </c>
      <c r="G22" s="8">
        <v>252</v>
      </c>
      <c r="H22" s="8">
        <v>998</v>
      </c>
    </row>
    <row r="31" spans="1:8" x14ac:dyDescent="0.25">
      <c r="A31">
        <f>SUMIFS($C$5:$C$22,$A$5:$A$22,$K31,$B$5:$B$22,$L31)</f>
        <v>0</v>
      </c>
    </row>
  </sheetData>
  <mergeCells count="1">
    <mergeCell ref="G1:M3"/>
  </mergeCells>
  <dataValidations count="2">
    <dataValidation type="list" allowBlank="1" showInputMessage="1" showErrorMessage="1" sqref="K12:K14 J6 J4" xr:uid="{966CE33D-A0EB-40A0-8074-53E78D70471F}">
      <formula1>$A$5:$A$22</formula1>
    </dataValidation>
    <dataValidation type="list" allowBlank="1" showInputMessage="1" showErrorMessage="1" sqref="I6" xr:uid="{FEB03A72-48E5-4031-B803-30F3B636DE44}">
      <formula1>$C$4:$H$4</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40926-340E-478B-9C6C-A4795DC64748}">
  <sheetPr codeName="Sheet24"/>
  <dimension ref="A1:W107"/>
  <sheetViews>
    <sheetView topLeftCell="A46" workbookViewId="0">
      <selection activeCell="M28" sqref="M28"/>
    </sheetView>
  </sheetViews>
  <sheetFormatPr defaultRowHeight="15" x14ac:dyDescent="0.25"/>
  <cols>
    <col min="1" max="1" width="10" bestFit="1" customWidth="1"/>
    <col min="2" max="2" width="9.7109375" bestFit="1" customWidth="1"/>
    <col min="3" max="3" width="11.85546875" bestFit="1" customWidth="1"/>
    <col min="4" max="4" width="15.5703125" bestFit="1" customWidth="1"/>
    <col min="5" max="6" width="6" bestFit="1" customWidth="1"/>
    <col min="7" max="7" width="10" bestFit="1" customWidth="1"/>
    <col min="10" max="11" width="8.85546875" bestFit="1" customWidth="1"/>
    <col min="12" max="12" width="9.5703125" bestFit="1" customWidth="1"/>
    <col min="13" max="13" width="10.7109375" bestFit="1" customWidth="1"/>
    <col min="14" max="14" width="15.5703125" bestFit="1" customWidth="1"/>
    <col min="15" max="15" width="10" bestFit="1" customWidth="1"/>
    <col min="16" max="16" width="10.7109375" bestFit="1" customWidth="1"/>
    <col min="17" max="17" width="10" bestFit="1" customWidth="1"/>
    <col min="18" max="18" width="10.28515625" bestFit="1" customWidth="1"/>
    <col min="19" max="19" width="10.7109375" bestFit="1" customWidth="1"/>
    <col min="20" max="20" width="10.28515625" bestFit="1" customWidth="1"/>
    <col min="21" max="23" width="15.5703125" bestFit="1" customWidth="1"/>
  </cols>
  <sheetData>
    <row r="1" spans="1:12" x14ac:dyDescent="0.25">
      <c r="H1" s="48" t="s">
        <v>219</v>
      </c>
      <c r="I1" s="48"/>
      <c r="J1" s="48"/>
      <c r="K1" s="48"/>
      <c r="L1" s="48"/>
    </row>
    <row r="2" spans="1:12" x14ac:dyDescent="0.25">
      <c r="H2" s="48"/>
      <c r="I2" s="48"/>
      <c r="J2" s="48"/>
      <c r="K2" s="48"/>
      <c r="L2" s="48"/>
    </row>
    <row r="3" spans="1:12" x14ac:dyDescent="0.25">
      <c r="H3" s="48"/>
      <c r="I3" s="48"/>
      <c r="J3" s="48"/>
      <c r="K3" s="48"/>
      <c r="L3" s="48"/>
    </row>
    <row r="4" spans="1:12" x14ac:dyDescent="0.25">
      <c r="A4" s="6" t="s">
        <v>162</v>
      </c>
      <c r="B4" s="6"/>
    </row>
    <row r="5" spans="1:12" x14ac:dyDescent="0.25">
      <c r="A5" t="s">
        <v>221</v>
      </c>
      <c r="B5" t="s">
        <v>154</v>
      </c>
      <c r="C5" t="s">
        <v>161</v>
      </c>
    </row>
    <row r="6" spans="1:12" x14ac:dyDescent="0.25">
      <c r="A6">
        <v>0</v>
      </c>
      <c r="B6" t="s">
        <v>155</v>
      </c>
      <c r="C6">
        <v>200</v>
      </c>
      <c r="F6" t="s">
        <v>173</v>
      </c>
      <c r="G6" t="s">
        <v>221</v>
      </c>
    </row>
    <row r="7" spans="1:12" x14ac:dyDescent="0.25">
      <c r="A7">
        <v>500</v>
      </c>
      <c r="B7" t="s">
        <v>156</v>
      </c>
      <c r="C7">
        <v>190</v>
      </c>
      <c r="F7">
        <v>750</v>
      </c>
      <c r="G7">
        <f>VLOOKUP(F7,A5:C11,MATCH(C5,A5:C5,0),1)</f>
        <v>190</v>
      </c>
    </row>
    <row r="8" spans="1:12" x14ac:dyDescent="0.25">
      <c r="A8">
        <v>1000</v>
      </c>
      <c r="B8" t="s">
        <v>157</v>
      </c>
      <c r="C8">
        <v>180</v>
      </c>
    </row>
    <row r="9" spans="1:12" x14ac:dyDescent="0.25">
      <c r="A9">
        <v>2000</v>
      </c>
      <c r="B9" t="s">
        <v>158</v>
      </c>
      <c r="C9">
        <v>170</v>
      </c>
    </row>
    <row r="10" spans="1:12" x14ac:dyDescent="0.25">
      <c r="A10">
        <v>3000</v>
      </c>
      <c r="B10" t="s">
        <v>159</v>
      </c>
      <c r="C10">
        <v>160</v>
      </c>
    </row>
    <row r="11" spans="1:12" x14ac:dyDescent="0.25">
      <c r="A11">
        <v>4000</v>
      </c>
      <c r="B11" t="s">
        <v>160</v>
      </c>
      <c r="C11">
        <v>150</v>
      </c>
    </row>
    <row r="14" spans="1:12" x14ac:dyDescent="0.25">
      <c r="A14" s="44" t="s">
        <v>167</v>
      </c>
      <c r="B14" s="44"/>
      <c r="C14" s="44"/>
    </row>
    <row r="15" spans="1:12" x14ac:dyDescent="0.25">
      <c r="A15" t="s">
        <v>154</v>
      </c>
      <c r="B15" t="s">
        <v>154</v>
      </c>
      <c r="C15" t="s">
        <v>163</v>
      </c>
      <c r="D15" t="s">
        <v>161</v>
      </c>
    </row>
    <row r="16" spans="1:12" x14ac:dyDescent="0.25">
      <c r="A16">
        <v>0</v>
      </c>
      <c r="B16" t="s">
        <v>155</v>
      </c>
      <c r="C16" t="s">
        <v>164</v>
      </c>
      <c r="D16">
        <v>200</v>
      </c>
    </row>
    <row r="17" spans="1:15" x14ac:dyDescent="0.25">
      <c r="A17">
        <v>500</v>
      </c>
      <c r="B17" t="s">
        <v>156</v>
      </c>
      <c r="C17" t="s">
        <v>164</v>
      </c>
      <c r="D17">
        <v>190</v>
      </c>
      <c r="L17" t="s">
        <v>154</v>
      </c>
      <c r="M17" t="s">
        <v>170</v>
      </c>
      <c r="N17" t="s">
        <v>168</v>
      </c>
      <c r="O17" t="s">
        <v>202</v>
      </c>
    </row>
    <row r="18" spans="1:15" x14ac:dyDescent="0.25">
      <c r="A18">
        <v>1000</v>
      </c>
      <c r="B18" t="s">
        <v>157</v>
      </c>
      <c r="C18" t="s">
        <v>164</v>
      </c>
      <c r="D18">
        <v>180</v>
      </c>
      <c r="L18">
        <v>0</v>
      </c>
      <c r="M18">
        <f>SUMIFS($D$16:$D$33,$C$16:$C$33,M$17,$A$16:$A$33,$L18)</f>
        <v>200</v>
      </c>
      <c r="N18">
        <f t="shared" ref="N18:O23" si="0">SUMIFS($D$16:$D$33,$C$16:$C$33,N$17,$A$16:$A$33,$L18)</f>
        <v>220</v>
      </c>
      <c r="O18">
        <f t="shared" si="0"/>
        <v>240</v>
      </c>
    </row>
    <row r="19" spans="1:15" x14ac:dyDescent="0.25">
      <c r="A19">
        <v>2000</v>
      </c>
      <c r="B19" t="s">
        <v>158</v>
      </c>
      <c r="C19" t="s">
        <v>164</v>
      </c>
      <c r="D19">
        <v>170</v>
      </c>
      <c r="L19">
        <v>500</v>
      </c>
      <c r="M19">
        <f t="shared" ref="M19:M23" si="1">SUMIFS($D$16:$D$33,$C$16:$C$33,M$17,$A$16:$A$33,$L19)</f>
        <v>190</v>
      </c>
      <c r="N19">
        <f>SUMIFS($D$16:$D$33,$C$16:$C$33,N$17,$A$16:$A$33,$L19)</f>
        <v>210</v>
      </c>
      <c r="O19">
        <f t="shared" si="0"/>
        <v>230</v>
      </c>
    </row>
    <row r="20" spans="1:15" x14ac:dyDescent="0.25">
      <c r="A20">
        <v>3000</v>
      </c>
      <c r="B20" t="s">
        <v>159</v>
      </c>
      <c r="C20" t="s">
        <v>164</v>
      </c>
      <c r="D20">
        <v>160</v>
      </c>
      <c r="L20">
        <v>1000</v>
      </c>
      <c r="M20">
        <f t="shared" si="1"/>
        <v>180</v>
      </c>
      <c r="N20">
        <f t="shared" si="0"/>
        <v>200</v>
      </c>
      <c r="O20">
        <f t="shared" si="0"/>
        <v>220</v>
      </c>
    </row>
    <row r="21" spans="1:15" x14ac:dyDescent="0.25">
      <c r="A21">
        <v>4000</v>
      </c>
      <c r="B21" t="s">
        <v>160</v>
      </c>
      <c r="C21" t="s">
        <v>164</v>
      </c>
      <c r="D21">
        <v>150</v>
      </c>
      <c r="L21">
        <v>2000</v>
      </c>
      <c r="M21">
        <f t="shared" si="1"/>
        <v>170</v>
      </c>
      <c r="N21">
        <f t="shared" si="0"/>
        <v>190</v>
      </c>
      <c r="O21">
        <f t="shared" si="0"/>
        <v>210</v>
      </c>
    </row>
    <row r="22" spans="1:15" x14ac:dyDescent="0.25">
      <c r="A22">
        <v>0</v>
      </c>
      <c r="B22" t="s">
        <v>155</v>
      </c>
      <c r="C22" t="s">
        <v>165</v>
      </c>
      <c r="D22">
        <v>220</v>
      </c>
      <c r="L22">
        <v>3000</v>
      </c>
      <c r="M22">
        <f t="shared" si="1"/>
        <v>160</v>
      </c>
      <c r="N22">
        <f t="shared" si="0"/>
        <v>180</v>
      </c>
      <c r="O22">
        <f t="shared" si="0"/>
        <v>200</v>
      </c>
    </row>
    <row r="23" spans="1:15" x14ac:dyDescent="0.25">
      <c r="A23">
        <v>500</v>
      </c>
      <c r="B23" t="s">
        <v>156</v>
      </c>
      <c r="C23" t="s">
        <v>165</v>
      </c>
      <c r="D23">
        <v>210</v>
      </c>
      <c r="L23">
        <v>4000</v>
      </c>
      <c r="M23">
        <f t="shared" si="1"/>
        <v>150</v>
      </c>
      <c r="N23">
        <f t="shared" si="0"/>
        <v>170</v>
      </c>
      <c r="O23">
        <f t="shared" si="0"/>
        <v>190</v>
      </c>
    </row>
    <row r="24" spans="1:15" x14ac:dyDescent="0.25">
      <c r="A24">
        <v>1000</v>
      </c>
      <c r="B24" t="s">
        <v>157</v>
      </c>
      <c r="C24" t="s">
        <v>165</v>
      </c>
      <c r="D24">
        <v>200</v>
      </c>
    </row>
    <row r="25" spans="1:15" x14ac:dyDescent="0.25">
      <c r="A25">
        <v>2000</v>
      </c>
      <c r="B25" t="s">
        <v>158</v>
      </c>
      <c r="C25" t="s">
        <v>165</v>
      </c>
      <c r="D25">
        <v>190</v>
      </c>
      <c r="J25" t="s">
        <v>170</v>
      </c>
      <c r="K25">
        <v>1250</v>
      </c>
      <c r="L25">
        <f t="array" ref="L25">VLOOKUP(K25,L17:O23,MATCH(J25,L17:O17,0),1)</f>
        <v>180</v>
      </c>
    </row>
    <row r="26" spans="1:15" x14ac:dyDescent="0.25">
      <c r="A26">
        <v>3000</v>
      </c>
      <c r="B26" t="s">
        <v>159</v>
      </c>
      <c r="C26" t="s">
        <v>165</v>
      </c>
      <c r="D26">
        <v>180</v>
      </c>
    </row>
    <row r="27" spans="1:15" x14ac:dyDescent="0.25">
      <c r="A27">
        <v>4000</v>
      </c>
      <c r="B27" t="s">
        <v>160</v>
      </c>
      <c r="C27" t="s">
        <v>165</v>
      </c>
      <c r="D27">
        <v>170</v>
      </c>
    </row>
    <row r="28" spans="1:15" x14ac:dyDescent="0.25">
      <c r="A28">
        <v>0</v>
      </c>
      <c r="B28" t="s">
        <v>155</v>
      </c>
      <c r="C28" t="s">
        <v>202</v>
      </c>
      <c r="D28">
        <v>240</v>
      </c>
    </row>
    <row r="29" spans="1:15" x14ac:dyDescent="0.25">
      <c r="A29">
        <v>500</v>
      </c>
      <c r="B29" t="s">
        <v>156</v>
      </c>
      <c r="C29" t="s">
        <v>202</v>
      </c>
      <c r="D29">
        <v>230</v>
      </c>
    </row>
    <row r="30" spans="1:15" x14ac:dyDescent="0.25">
      <c r="A30">
        <v>1000</v>
      </c>
      <c r="B30" t="s">
        <v>157</v>
      </c>
      <c r="C30" t="s">
        <v>202</v>
      </c>
      <c r="D30">
        <v>220</v>
      </c>
    </row>
    <row r="31" spans="1:15" x14ac:dyDescent="0.25">
      <c r="A31">
        <v>2000</v>
      </c>
      <c r="B31" t="s">
        <v>158</v>
      </c>
      <c r="C31" t="s">
        <v>202</v>
      </c>
      <c r="D31">
        <v>210</v>
      </c>
    </row>
    <row r="32" spans="1:15" x14ac:dyDescent="0.25">
      <c r="A32">
        <v>3000</v>
      </c>
      <c r="B32" t="s">
        <v>159</v>
      </c>
      <c r="C32" t="s">
        <v>202</v>
      </c>
      <c r="D32">
        <v>200</v>
      </c>
    </row>
    <row r="33" spans="1:23" x14ac:dyDescent="0.25">
      <c r="A33">
        <v>4000</v>
      </c>
      <c r="B33" t="s">
        <v>160</v>
      </c>
      <c r="C33" t="s">
        <v>202</v>
      </c>
      <c r="D33">
        <v>190</v>
      </c>
    </row>
    <row r="35" spans="1:23" x14ac:dyDescent="0.25">
      <c r="A35" t="s">
        <v>154</v>
      </c>
      <c r="B35" t="s">
        <v>169</v>
      </c>
      <c r="C35" t="s">
        <v>171</v>
      </c>
      <c r="D35" t="s">
        <v>172</v>
      </c>
      <c r="E35" t="s">
        <v>173</v>
      </c>
    </row>
    <row r="36" spans="1:23" x14ac:dyDescent="0.25">
      <c r="A36">
        <v>0</v>
      </c>
      <c r="B36" t="s">
        <v>155</v>
      </c>
      <c r="C36" t="s">
        <v>170</v>
      </c>
      <c r="D36" t="s">
        <v>198</v>
      </c>
      <c r="E36">
        <v>200</v>
      </c>
      <c r="L36" t="s">
        <v>198</v>
      </c>
      <c r="M36" t="s">
        <v>198</v>
      </c>
      <c r="N36" t="s">
        <v>198</v>
      </c>
      <c r="O36" t="s">
        <v>199</v>
      </c>
      <c r="P36" t="s">
        <v>199</v>
      </c>
      <c r="Q36" t="s">
        <v>199</v>
      </c>
      <c r="R36" t="s">
        <v>200</v>
      </c>
      <c r="S36" t="s">
        <v>200</v>
      </c>
      <c r="T36" t="s">
        <v>200</v>
      </c>
      <c r="U36" t="s">
        <v>201</v>
      </c>
      <c r="V36" t="s">
        <v>201</v>
      </c>
      <c r="W36" t="s">
        <v>201</v>
      </c>
    </row>
    <row r="37" spans="1:23" x14ac:dyDescent="0.25">
      <c r="A37">
        <v>500</v>
      </c>
      <c r="B37" t="s">
        <v>156</v>
      </c>
      <c r="C37" t="s">
        <v>170</v>
      </c>
      <c r="D37" t="s">
        <v>198</v>
      </c>
      <c r="E37">
        <f>E36-10</f>
        <v>190</v>
      </c>
      <c r="K37" t="s">
        <v>169</v>
      </c>
      <c r="L37" t="s">
        <v>170</v>
      </c>
      <c r="M37" t="s">
        <v>168</v>
      </c>
      <c r="N37" t="s">
        <v>202</v>
      </c>
      <c r="O37" t="s">
        <v>170</v>
      </c>
      <c r="P37" t="s">
        <v>168</v>
      </c>
      <c r="Q37" t="s">
        <v>202</v>
      </c>
      <c r="R37" t="s">
        <v>170</v>
      </c>
      <c r="S37" t="s">
        <v>168</v>
      </c>
      <c r="T37" t="s">
        <v>202</v>
      </c>
      <c r="U37" t="s">
        <v>170</v>
      </c>
      <c r="V37" t="s">
        <v>168</v>
      </c>
      <c r="W37" t="s">
        <v>202</v>
      </c>
    </row>
    <row r="38" spans="1:23" x14ac:dyDescent="0.25">
      <c r="A38">
        <v>1000</v>
      </c>
      <c r="B38" t="s">
        <v>157</v>
      </c>
      <c r="C38" t="s">
        <v>170</v>
      </c>
      <c r="D38" t="s">
        <v>198</v>
      </c>
      <c r="E38">
        <f t="shared" ref="E38:E41" si="2">E37-10</f>
        <v>180</v>
      </c>
      <c r="K38">
        <v>0</v>
      </c>
      <c r="L38">
        <f>SUMIFS($E$36:$E$107,$C$36:$C$107,L$37,$A$36:$A$107,$K38,$D$36:$D$107,L$36)</f>
        <v>200</v>
      </c>
      <c r="M38">
        <f t="shared" ref="M38:W43" si="3">SUMIFS($E$36:$E$107,$C$36:$C$107,M$37,$A$36:$A$107,$K38,$D$36:$D$107,M$36)</f>
        <v>200</v>
      </c>
      <c r="N38">
        <f t="shared" si="3"/>
        <v>200</v>
      </c>
      <c r="O38">
        <f t="shared" si="3"/>
        <v>200</v>
      </c>
      <c r="P38">
        <f t="shared" si="3"/>
        <v>200</v>
      </c>
      <c r="Q38">
        <f t="shared" si="3"/>
        <v>200</v>
      </c>
      <c r="R38">
        <f t="shared" si="3"/>
        <v>200</v>
      </c>
      <c r="S38">
        <f t="shared" si="3"/>
        <v>200</v>
      </c>
      <c r="T38">
        <f t="shared" si="3"/>
        <v>200</v>
      </c>
      <c r="U38">
        <f t="shared" si="3"/>
        <v>200</v>
      </c>
      <c r="V38">
        <f t="shared" si="3"/>
        <v>200</v>
      </c>
      <c r="W38">
        <f t="shared" si="3"/>
        <v>200</v>
      </c>
    </row>
    <row r="39" spans="1:23" x14ac:dyDescent="0.25">
      <c r="A39">
        <v>2000</v>
      </c>
      <c r="B39" t="s">
        <v>158</v>
      </c>
      <c r="C39" t="s">
        <v>170</v>
      </c>
      <c r="D39" t="s">
        <v>198</v>
      </c>
      <c r="E39">
        <f t="shared" si="2"/>
        <v>170</v>
      </c>
      <c r="K39">
        <v>500</v>
      </c>
      <c r="L39">
        <f t="shared" ref="L39:L43" si="4">SUMIFS($E$36:$E$107,$C$36:$C$107,L$37,$A$36:$A$107,$K39,$D$36:$D$107,L$36)</f>
        <v>190</v>
      </c>
      <c r="M39">
        <f t="shared" si="3"/>
        <v>190</v>
      </c>
      <c r="N39">
        <f t="shared" si="3"/>
        <v>190</v>
      </c>
      <c r="O39">
        <f>SUMIFS($E$36:$E$107,$C$36:$C$107,O$37,$A$36:$A$107,$K39,$D$36:$D$107,O$36)</f>
        <v>190</v>
      </c>
      <c r="P39">
        <f t="shared" si="3"/>
        <v>190</v>
      </c>
      <c r="Q39">
        <f t="shared" si="3"/>
        <v>190</v>
      </c>
      <c r="R39">
        <f t="shared" si="3"/>
        <v>190</v>
      </c>
      <c r="S39">
        <f t="shared" si="3"/>
        <v>190</v>
      </c>
      <c r="T39">
        <f t="shared" si="3"/>
        <v>190</v>
      </c>
      <c r="U39">
        <f t="shared" si="3"/>
        <v>190</v>
      </c>
      <c r="V39">
        <f t="shared" si="3"/>
        <v>190</v>
      </c>
      <c r="W39">
        <f t="shared" si="3"/>
        <v>190</v>
      </c>
    </row>
    <row r="40" spans="1:23" x14ac:dyDescent="0.25">
      <c r="A40">
        <v>3000</v>
      </c>
      <c r="B40" t="s">
        <v>159</v>
      </c>
      <c r="C40" t="s">
        <v>170</v>
      </c>
      <c r="D40" t="s">
        <v>198</v>
      </c>
      <c r="E40">
        <f t="shared" si="2"/>
        <v>160</v>
      </c>
      <c r="K40">
        <v>1000</v>
      </c>
      <c r="L40">
        <f t="shared" si="4"/>
        <v>180</v>
      </c>
      <c r="M40">
        <f t="shared" si="3"/>
        <v>180</v>
      </c>
      <c r="N40">
        <f t="shared" si="3"/>
        <v>180</v>
      </c>
      <c r="O40">
        <f t="shared" si="3"/>
        <v>180</v>
      </c>
      <c r="P40">
        <f>SUMIFS($E$36:$E$107,$C$36:$C$107,P$37,$A$36:$A$107,$K40,$D$36:$D$107,P$36)</f>
        <v>180</v>
      </c>
      <c r="Q40">
        <f t="shared" si="3"/>
        <v>180</v>
      </c>
      <c r="R40">
        <f t="shared" si="3"/>
        <v>180</v>
      </c>
      <c r="S40">
        <f t="shared" si="3"/>
        <v>180</v>
      </c>
      <c r="T40">
        <f t="shared" si="3"/>
        <v>180</v>
      </c>
      <c r="U40">
        <f t="shared" si="3"/>
        <v>180</v>
      </c>
      <c r="V40">
        <f t="shared" si="3"/>
        <v>180</v>
      </c>
      <c r="W40">
        <f t="shared" si="3"/>
        <v>180</v>
      </c>
    </row>
    <row r="41" spans="1:23" x14ac:dyDescent="0.25">
      <c r="A41">
        <v>4000</v>
      </c>
      <c r="B41" t="s">
        <v>160</v>
      </c>
      <c r="C41" t="s">
        <v>170</v>
      </c>
      <c r="D41" t="s">
        <v>198</v>
      </c>
      <c r="E41">
        <f t="shared" si="2"/>
        <v>150</v>
      </c>
      <c r="K41">
        <v>2000</v>
      </c>
      <c r="L41">
        <f t="shared" si="4"/>
        <v>170</v>
      </c>
      <c r="M41">
        <f t="shared" si="3"/>
        <v>170</v>
      </c>
      <c r="N41">
        <f t="shared" si="3"/>
        <v>170</v>
      </c>
      <c r="O41">
        <f t="shared" si="3"/>
        <v>170</v>
      </c>
      <c r="P41">
        <f t="shared" si="3"/>
        <v>170</v>
      </c>
      <c r="Q41">
        <f t="shared" si="3"/>
        <v>170</v>
      </c>
      <c r="R41">
        <f t="shared" si="3"/>
        <v>170</v>
      </c>
      <c r="S41">
        <f t="shared" si="3"/>
        <v>170</v>
      </c>
      <c r="T41">
        <f t="shared" si="3"/>
        <v>170</v>
      </c>
      <c r="U41">
        <f t="shared" si="3"/>
        <v>170</v>
      </c>
      <c r="V41">
        <f t="shared" si="3"/>
        <v>170</v>
      </c>
      <c r="W41">
        <f t="shared" si="3"/>
        <v>170</v>
      </c>
    </row>
    <row r="42" spans="1:23" x14ac:dyDescent="0.25">
      <c r="A42">
        <v>0</v>
      </c>
      <c r="B42" t="s">
        <v>155</v>
      </c>
      <c r="C42" t="s">
        <v>168</v>
      </c>
      <c r="D42" t="s">
        <v>198</v>
      </c>
      <c r="E42">
        <v>200</v>
      </c>
      <c r="K42">
        <v>3000</v>
      </c>
      <c r="L42">
        <f t="shared" si="4"/>
        <v>160</v>
      </c>
      <c r="M42">
        <f t="shared" si="3"/>
        <v>160</v>
      </c>
      <c r="N42">
        <f t="shared" si="3"/>
        <v>160</v>
      </c>
      <c r="O42">
        <f t="shared" si="3"/>
        <v>160</v>
      </c>
      <c r="P42">
        <f t="shared" si="3"/>
        <v>160</v>
      </c>
      <c r="Q42">
        <f t="shared" si="3"/>
        <v>160</v>
      </c>
      <c r="R42">
        <f t="shared" si="3"/>
        <v>160</v>
      </c>
      <c r="S42">
        <f t="shared" si="3"/>
        <v>160</v>
      </c>
      <c r="T42">
        <f t="shared" si="3"/>
        <v>160</v>
      </c>
      <c r="U42">
        <f t="shared" si="3"/>
        <v>160</v>
      </c>
      <c r="V42">
        <f t="shared" si="3"/>
        <v>160</v>
      </c>
      <c r="W42">
        <f t="shared" si="3"/>
        <v>160</v>
      </c>
    </row>
    <row r="43" spans="1:23" x14ac:dyDescent="0.25">
      <c r="A43">
        <v>500</v>
      </c>
      <c r="B43" t="s">
        <v>156</v>
      </c>
      <c r="C43" t="s">
        <v>168</v>
      </c>
      <c r="D43" t="s">
        <v>198</v>
      </c>
      <c r="E43">
        <f>E42-10</f>
        <v>190</v>
      </c>
      <c r="K43">
        <v>4000</v>
      </c>
      <c r="L43">
        <f t="shared" si="4"/>
        <v>150</v>
      </c>
      <c r="M43">
        <f>SUMIFS($E$36:$E$107,$C$36:$C$107,M$37,$A$36:$A$107,$K43,$D$36:$D$107,M$36)</f>
        <v>150</v>
      </c>
      <c r="N43">
        <f t="shared" si="3"/>
        <v>150</v>
      </c>
      <c r="O43">
        <f t="shared" si="3"/>
        <v>150</v>
      </c>
      <c r="P43">
        <f t="shared" si="3"/>
        <v>150</v>
      </c>
      <c r="Q43">
        <f t="shared" si="3"/>
        <v>150</v>
      </c>
      <c r="R43">
        <f t="shared" si="3"/>
        <v>150</v>
      </c>
      <c r="S43">
        <f t="shared" si="3"/>
        <v>150</v>
      </c>
      <c r="T43">
        <f t="shared" si="3"/>
        <v>150</v>
      </c>
      <c r="U43">
        <f t="shared" si="3"/>
        <v>150</v>
      </c>
      <c r="V43">
        <f t="shared" si="3"/>
        <v>150</v>
      </c>
      <c r="W43">
        <f t="shared" si="3"/>
        <v>150</v>
      </c>
    </row>
    <row r="44" spans="1:23" x14ac:dyDescent="0.25">
      <c r="A44">
        <v>1000</v>
      </c>
      <c r="B44" t="s">
        <v>157</v>
      </c>
      <c r="C44" t="s">
        <v>168</v>
      </c>
      <c r="D44" t="s">
        <v>198</v>
      </c>
      <c r="E44">
        <f t="shared" ref="E44:E47" si="5">E43-10</f>
        <v>180</v>
      </c>
    </row>
    <row r="45" spans="1:23" x14ac:dyDescent="0.25">
      <c r="A45">
        <v>2000</v>
      </c>
      <c r="B45" t="s">
        <v>158</v>
      </c>
      <c r="C45" t="s">
        <v>168</v>
      </c>
      <c r="D45" t="s">
        <v>198</v>
      </c>
      <c r="E45">
        <f t="shared" si="5"/>
        <v>170</v>
      </c>
      <c r="J45">
        <v>1550</v>
      </c>
      <c r="K45">
        <f t="array" ref="K45">VLOOKUP(J45,K36:W43,MATCH(K46&amp;K47,K37:W37&amp;K36:W36,0),1)</f>
        <v>180</v>
      </c>
    </row>
    <row r="46" spans="1:23" x14ac:dyDescent="0.25">
      <c r="A46">
        <v>3000</v>
      </c>
      <c r="B46" t="s">
        <v>159</v>
      </c>
      <c r="C46" t="s">
        <v>168</v>
      </c>
      <c r="D46" t="s">
        <v>198</v>
      </c>
      <c r="E46">
        <f t="shared" si="5"/>
        <v>160</v>
      </c>
      <c r="K46" t="s">
        <v>170</v>
      </c>
    </row>
    <row r="47" spans="1:23" x14ac:dyDescent="0.25">
      <c r="A47">
        <v>4000</v>
      </c>
      <c r="B47" t="s">
        <v>160</v>
      </c>
      <c r="C47" t="s">
        <v>168</v>
      </c>
      <c r="D47" t="s">
        <v>198</v>
      </c>
      <c r="E47">
        <f t="shared" si="5"/>
        <v>150</v>
      </c>
      <c r="K47" t="s">
        <v>198</v>
      </c>
    </row>
    <row r="48" spans="1:23" x14ac:dyDescent="0.25">
      <c r="A48">
        <v>0</v>
      </c>
      <c r="B48" t="s">
        <v>155</v>
      </c>
      <c r="C48" t="s">
        <v>202</v>
      </c>
      <c r="D48" t="s">
        <v>198</v>
      </c>
      <c r="E48">
        <v>200</v>
      </c>
    </row>
    <row r="49" spans="1:14" x14ac:dyDescent="0.25">
      <c r="A49">
        <v>500</v>
      </c>
      <c r="B49" t="s">
        <v>156</v>
      </c>
      <c r="C49" t="s">
        <v>202</v>
      </c>
      <c r="D49" t="s">
        <v>198</v>
      </c>
      <c r="E49">
        <f>E48-10</f>
        <v>190</v>
      </c>
    </row>
    <row r="50" spans="1:14" x14ac:dyDescent="0.25">
      <c r="A50">
        <v>1000</v>
      </c>
      <c r="B50" t="s">
        <v>157</v>
      </c>
      <c r="C50" t="s">
        <v>202</v>
      </c>
      <c r="D50" t="s">
        <v>198</v>
      </c>
      <c r="E50">
        <f t="shared" ref="E50:E53" si="6">E49-10</f>
        <v>180</v>
      </c>
      <c r="K50" t="s">
        <v>198</v>
      </c>
      <c r="L50" t="s">
        <v>198</v>
      </c>
      <c r="M50" t="s">
        <v>200</v>
      </c>
      <c r="N50" t="s">
        <v>201</v>
      </c>
    </row>
    <row r="51" spans="1:14" x14ac:dyDescent="0.25">
      <c r="A51">
        <v>2000</v>
      </c>
      <c r="B51" t="s">
        <v>158</v>
      </c>
      <c r="C51" t="s">
        <v>202</v>
      </c>
      <c r="D51" t="s">
        <v>198</v>
      </c>
      <c r="E51">
        <f t="shared" si="6"/>
        <v>170</v>
      </c>
      <c r="J51" t="s">
        <v>169</v>
      </c>
      <c r="K51" t="s">
        <v>170</v>
      </c>
      <c r="L51" t="s">
        <v>202</v>
      </c>
      <c r="M51" t="s">
        <v>168</v>
      </c>
      <c r="N51" t="s">
        <v>202</v>
      </c>
    </row>
    <row r="52" spans="1:14" x14ac:dyDescent="0.25">
      <c r="A52">
        <v>3000</v>
      </c>
      <c r="B52" t="s">
        <v>159</v>
      </c>
      <c r="C52" t="s">
        <v>202</v>
      </c>
      <c r="D52" t="s">
        <v>198</v>
      </c>
      <c r="E52">
        <f t="shared" si="6"/>
        <v>160</v>
      </c>
      <c r="J52">
        <v>0</v>
      </c>
      <c r="K52">
        <f t="array" ref="K52">VLOOKUP($J52,$K$36:$W$43,MATCH(K$51&amp;K$50,$K$37:$W$37&amp;$K$36:$W$36,0),0)</f>
        <v>200</v>
      </c>
      <c r="L52">
        <f t="array" ref="L52">VLOOKUP($J52,$K$36:$W$43,MATCH(L$51&amp;L$50,$K$37:$W$37&amp;$K$36:$W$36,0),0)</f>
        <v>200</v>
      </c>
      <c r="M52">
        <f t="array" ref="M52">VLOOKUP($J52,$K$36:$W$43,MATCH(M$51&amp;M$50,$K$37:$W$37&amp;$K$36:$W$36,0),0)</f>
        <v>200</v>
      </c>
      <c r="N52">
        <f t="array" ref="N52">VLOOKUP($J52,$K$36:$W$43,MATCH(N$51&amp;N$50,$K$37:$W$37&amp;$K$36:$W$36,0),0)</f>
        <v>200</v>
      </c>
    </row>
    <row r="53" spans="1:14" x14ac:dyDescent="0.25">
      <c r="A53">
        <v>4000</v>
      </c>
      <c r="B53" t="s">
        <v>160</v>
      </c>
      <c r="C53" t="s">
        <v>202</v>
      </c>
      <c r="D53" t="s">
        <v>198</v>
      </c>
      <c r="E53">
        <f t="shared" si="6"/>
        <v>150</v>
      </c>
      <c r="J53">
        <v>500</v>
      </c>
      <c r="K53">
        <f t="array" ref="K53">VLOOKUP($J53,$K$36:$W$43,MATCH(K$51&amp;K$50,$K$37:$W$37&amp;$K$36:$W$36,0),0)</f>
        <v>190</v>
      </c>
      <c r="L53">
        <f t="array" ref="L53">VLOOKUP($J53,$K$36:$W$43,MATCH(L$51&amp;L$50,$K$37:$W$37&amp;$K$36:$W$36,0),0)</f>
        <v>190</v>
      </c>
      <c r="M53">
        <f t="array" ref="M53">VLOOKUP($J53,$K$36:$W$43,MATCH(M$51&amp;M$50,$K$37:$W$37&amp;$K$36:$W$36,0),0)</f>
        <v>190</v>
      </c>
      <c r="N53">
        <f t="array" ref="N53">VLOOKUP($J53,$K$36:$W$43,MATCH(N$51&amp;N$50,$K$37:$W$37&amp;$K$36:$W$36,0),0)</f>
        <v>190</v>
      </c>
    </row>
    <row r="54" spans="1:14" x14ac:dyDescent="0.25">
      <c r="A54">
        <v>0</v>
      </c>
      <c r="B54" t="s">
        <v>155</v>
      </c>
      <c r="C54" t="s">
        <v>170</v>
      </c>
      <c r="D54" t="s">
        <v>199</v>
      </c>
      <c r="E54">
        <v>200</v>
      </c>
      <c r="J54">
        <v>1000</v>
      </c>
      <c r="K54">
        <f t="array" ref="K54">VLOOKUP($J54,$K$36:$W$43,MATCH(K$51&amp;K$50,$K$37:$W$37&amp;$K$36:$W$36,0),0)</f>
        <v>180</v>
      </c>
      <c r="L54">
        <f t="array" ref="L54">VLOOKUP($J54,$K$36:$W$43,MATCH(L$51&amp;L$50,$K$37:$W$37&amp;$K$36:$W$36,0),0)</f>
        <v>180</v>
      </c>
      <c r="M54">
        <f t="array" ref="M54">VLOOKUP($J54,$K$36:$W$43,MATCH(M$51&amp;M$50,$K$37:$W$37&amp;$K$36:$W$36,0),0)</f>
        <v>180</v>
      </c>
      <c r="N54">
        <f t="array" ref="N54">VLOOKUP($J54,$K$36:$W$43,MATCH(N$51&amp;N$50,$K$37:$W$37&amp;$K$36:$W$36,0),0)</f>
        <v>180</v>
      </c>
    </row>
    <row r="55" spans="1:14" x14ac:dyDescent="0.25">
      <c r="A55">
        <v>500</v>
      </c>
      <c r="B55" t="s">
        <v>156</v>
      </c>
      <c r="C55" t="s">
        <v>170</v>
      </c>
      <c r="D55" t="s">
        <v>199</v>
      </c>
      <c r="E55">
        <f>E54-10</f>
        <v>190</v>
      </c>
      <c r="J55">
        <v>2000</v>
      </c>
      <c r="K55">
        <f t="array" ref="K55">VLOOKUP($J55,$K$36:$W$43,MATCH(K$51&amp;K$50,$K$37:$W$37&amp;$K$36:$W$36,0),0)</f>
        <v>170</v>
      </c>
      <c r="L55">
        <f t="array" ref="L55">VLOOKUP($J55,$K$36:$W$43,MATCH(L$51&amp;L$50,$K$37:$W$37&amp;$K$36:$W$36,0),0)</f>
        <v>170</v>
      </c>
      <c r="M55">
        <f t="array" ref="M55">VLOOKUP($J55,$K$36:$W$43,MATCH(M$51&amp;M$50,$K$37:$W$37&amp;$K$36:$W$36,0),0)</f>
        <v>170</v>
      </c>
      <c r="N55">
        <f t="array" ref="N55">VLOOKUP($J55,$K$36:$W$43,MATCH(N$51&amp;N$50,$K$37:$W$37&amp;$K$36:$W$36,0),0)</f>
        <v>170</v>
      </c>
    </row>
    <row r="56" spans="1:14" x14ac:dyDescent="0.25">
      <c r="A56">
        <v>1000</v>
      </c>
      <c r="B56" t="s">
        <v>157</v>
      </c>
      <c r="C56" t="s">
        <v>170</v>
      </c>
      <c r="D56" t="s">
        <v>199</v>
      </c>
      <c r="E56">
        <f t="shared" ref="E56:E59" si="7">E55-10</f>
        <v>180</v>
      </c>
      <c r="J56">
        <v>3000</v>
      </c>
      <c r="K56">
        <f t="array" ref="K56">VLOOKUP($J56,$K$36:$W$43,MATCH(K$51&amp;K$50,$K$37:$W$37&amp;$K$36:$W$36,0),0)</f>
        <v>160</v>
      </c>
      <c r="L56">
        <f t="array" ref="L56">VLOOKUP($J56,$K$36:$W$43,MATCH(L$51&amp;L$50,$K$37:$W$37&amp;$K$36:$W$36,0),0)</f>
        <v>160</v>
      </c>
      <c r="M56">
        <f t="array" ref="M56">VLOOKUP($J56,$K$36:$W$43,MATCH(M$51&amp;M$50,$K$37:$W$37&amp;$K$36:$W$36,0),0)</f>
        <v>160</v>
      </c>
      <c r="N56">
        <f t="array" ref="N56">VLOOKUP($J56,$K$36:$W$43,MATCH(N$51&amp;N$50,$K$37:$W$37&amp;$K$36:$W$36,0),0)</f>
        <v>160</v>
      </c>
    </row>
    <row r="57" spans="1:14" x14ac:dyDescent="0.25">
      <c r="A57">
        <v>2000</v>
      </c>
      <c r="B57" t="s">
        <v>158</v>
      </c>
      <c r="C57" t="s">
        <v>170</v>
      </c>
      <c r="D57" t="s">
        <v>199</v>
      </c>
      <c r="E57">
        <f t="shared" si="7"/>
        <v>170</v>
      </c>
      <c r="J57">
        <v>4000</v>
      </c>
      <c r="K57">
        <f t="array" ref="K57">VLOOKUP($J57,$K$36:$W$43,MATCH(K$51&amp;K$50,$K$37:$W$37&amp;$K$36:$W$36,0),0)</f>
        <v>150</v>
      </c>
      <c r="L57">
        <f t="array" ref="L57">VLOOKUP($J57,$K$36:$W$43,MATCH(L$51&amp;L$50,$K$37:$W$37&amp;$K$36:$W$36,0),0)</f>
        <v>150</v>
      </c>
      <c r="M57">
        <f t="array" ref="M57">VLOOKUP($J57,$K$36:$W$43,MATCH(M$51&amp;M$50,$K$37:$W$37&amp;$K$36:$W$36,0),0)</f>
        <v>150</v>
      </c>
      <c r="N57">
        <f t="array" ref="N57">VLOOKUP($J57,$K$36:$W$43,MATCH(N$51&amp;N$50,$K$37:$W$37&amp;$K$36:$W$36,0),0)</f>
        <v>150</v>
      </c>
    </row>
    <row r="58" spans="1:14" x14ac:dyDescent="0.25">
      <c r="A58">
        <v>3000</v>
      </c>
      <c r="B58" t="s">
        <v>159</v>
      </c>
      <c r="C58" t="s">
        <v>170</v>
      </c>
      <c r="D58" t="s">
        <v>199</v>
      </c>
      <c r="E58">
        <f t="shared" si="7"/>
        <v>160</v>
      </c>
    </row>
    <row r="59" spans="1:14" x14ac:dyDescent="0.25">
      <c r="A59">
        <v>4000</v>
      </c>
      <c r="B59" t="s">
        <v>160</v>
      </c>
      <c r="C59" t="s">
        <v>170</v>
      </c>
      <c r="D59" t="s">
        <v>199</v>
      </c>
      <c r="E59">
        <f t="shared" si="7"/>
        <v>150</v>
      </c>
    </row>
    <row r="60" spans="1:14" x14ac:dyDescent="0.25">
      <c r="A60">
        <v>0</v>
      </c>
      <c r="B60" t="s">
        <v>155</v>
      </c>
      <c r="C60" t="s">
        <v>168</v>
      </c>
      <c r="D60" t="s">
        <v>199</v>
      </c>
      <c r="E60">
        <v>200</v>
      </c>
    </row>
    <row r="61" spans="1:14" x14ac:dyDescent="0.25">
      <c r="A61">
        <v>500</v>
      </c>
      <c r="B61" t="s">
        <v>156</v>
      </c>
      <c r="C61" t="s">
        <v>168</v>
      </c>
      <c r="D61" t="s">
        <v>199</v>
      </c>
      <c r="E61">
        <f>E60-10</f>
        <v>190</v>
      </c>
    </row>
    <row r="62" spans="1:14" x14ac:dyDescent="0.25">
      <c r="A62">
        <v>1000</v>
      </c>
      <c r="B62" t="s">
        <v>157</v>
      </c>
      <c r="C62" t="s">
        <v>168</v>
      </c>
      <c r="D62" t="s">
        <v>199</v>
      </c>
      <c r="E62">
        <f t="shared" ref="E62:E65" si="8">E61-10</f>
        <v>180</v>
      </c>
    </row>
    <row r="63" spans="1:14" x14ac:dyDescent="0.25">
      <c r="A63">
        <v>2000</v>
      </c>
      <c r="B63" t="s">
        <v>158</v>
      </c>
      <c r="C63" t="s">
        <v>168</v>
      </c>
      <c r="D63" t="s">
        <v>199</v>
      </c>
      <c r="E63">
        <f t="shared" si="8"/>
        <v>170</v>
      </c>
    </row>
    <row r="64" spans="1:14" x14ac:dyDescent="0.25">
      <c r="A64">
        <v>3000</v>
      </c>
      <c r="B64" t="s">
        <v>159</v>
      </c>
      <c r="C64" t="s">
        <v>168</v>
      </c>
      <c r="D64" t="s">
        <v>199</v>
      </c>
      <c r="E64">
        <f t="shared" si="8"/>
        <v>160</v>
      </c>
    </row>
    <row r="65" spans="1:5" x14ac:dyDescent="0.25">
      <c r="A65">
        <v>4000</v>
      </c>
      <c r="B65" t="s">
        <v>160</v>
      </c>
      <c r="C65" t="s">
        <v>168</v>
      </c>
      <c r="D65" t="s">
        <v>199</v>
      </c>
      <c r="E65">
        <f t="shared" si="8"/>
        <v>150</v>
      </c>
    </row>
    <row r="66" spans="1:5" x14ac:dyDescent="0.25">
      <c r="A66">
        <v>0</v>
      </c>
      <c r="B66" t="s">
        <v>155</v>
      </c>
      <c r="C66" t="s">
        <v>202</v>
      </c>
      <c r="D66" t="s">
        <v>199</v>
      </c>
      <c r="E66">
        <v>200</v>
      </c>
    </row>
    <row r="67" spans="1:5" x14ac:dyDescent="0.25">
      <c r="A67">
        <v>500</v>
      </c>
      <c r="B67" t="s">
        <v>156</v>
      </c>
      <c r="C67" t="s">
        <v>202</v>
      </c>
      <c r="D67" t="s">
        <v>199</v>
      </c>
      <c r="E67">
        <f>E66-10</f>
        <v>190</v>
      </c>
    </row>
    <row r="68" spans="1:5" x14ac:dyDescent="0.25">
      <c r="A68">
        <v>1000</v>
      </c>
      <c r="B68" t="s">
        <v>157</v>
      </c>
      <c r="C68" t="s">
        <v>202</v>
      </c>
      <c r="D68" t="s">
        <v>199</v>
      </c>
      <c r="E68">
        <f t="shared" ref="E68:E71" si="9">E67-10</f>
        <v>180</v>
      </c>
    </row>
    <row r="69" spans="1:5" x14ac:dyDescent="0.25">
      <c r="A69">
        <v>2000</v>
      </c>
      <c r="B69" t="s">
        <v>158</v>
      </c>
      <c r="C69" t="s">
        <v>202</v>
      </c>
      <c r="D69" t="s">
        <v>199</v>
      </c>
      <c r="E69">
        <f t="shared" si="9"/>
        <v>170</v>
      </c>
    </row>
    <row r="70" spans="1:5" x14ac:dyDescent="0.25">
      <c r="A70">
        <v>3000</v>
      </c>
      <c r="B70" t="s">
        <v>159</v>
      </c>
      <c r="C70" t="s">
        <v>202</v>
      </c>
      <c r="D70" t="s">
        <v>199</v>
      </c>
      <c r="E70">
        <f t="shared" si="9"/>
        <v>160</v>
      </c>
    </row>
    <row r="71" spans="1:5" x14ac:dyDescent="0.25">
      <c r="A71">
        <v>4000</v>
      </c>
      <c r="B71" t="s">
        <v>160</v>
      </c>
      <c r="C71" t="s">
        <v>202</v>
      </c>
      <c r="D71" t="s">
        <v>199</v>
      </c>
      <c r="E71">
        <f t="shared" si="9"/>
        <v>150</v>
      </c>
    </row>
    <row r="72" spans="1:5" x14ac:dyDescent="0.25">
      <c r="A72">
        <v>0</v>
      </c>
      <c r="B72" t="s">
        <v>155</v>
      </c>
      <c r="C72" t="s">
        <v>170</v>
      </c>
      <c r="D72" t="s">
        <v>200</v>
      </c>
      <c r="E72">
        <v>200</v>
      </c>
    </row>
    <row r="73" spans="1:5" x14ac:dyDescent="0.25">
      <c r="A73">
        <v>500</v>
      </c>
      <c r="B73" t="s">
        <v>156</v>
      </c>
      <c r="C73" t="s">
        <v>170</v>
      </c>
      <c r="D73" t="s">
        <v>200</v>
      </c>
      <c r="E73">
        <f>E72-10</f>
        <v>190</v>
      </c>
    </row>
    <row r="74" spans="1:5" x14ac:dyDescent="0.25">
      <c r="A74">
        <v>1000</v>
      </c>
      <c r="B74" t="s">
        <v>157</v>
      </c>
      <c r="C74" t="s">
        <v>170</v>
      </c>
      <c r="D74" t="s">
        <v>200</v>
      </c>
      <c r="E74">
        <f t="shared" ref="E74:E77" si="10">E73-10</f>
        <v>180</v>
      </c>
    </row>
    <row r="75" spans="1:5" x14ac:dyDescent="0.25">
      <c r="A75">
        <v>2000</v>
      </c>
      <c r="B75" t="s">
        <v>158</v>
      </c>
      <c r="C75" t="s">
        <v>170</v>
      </c>
      <c r="D75" t="s">
        <v>200</v>
      </c>
      <c r="E75">
        <f t="shared" si="10"/>
        <v>170</v>
      </c>
    </row>
    <row r="76" spans="1:5" x14ac:dyDescent="0.25">
      <c r="A76">
        <v>3000</v>
      </c>
      <c r="B76" t="s">
        <v>159</v>
      </c>
      <c r="C76" t="s">
        <v>170</v>
      </c>
      <c r="D76" t="s">
        <v>200</v>
      </c>
      <c r="E76">
        <f t="shared" si="10"/>
        <v>160</v>
      </c>
    </row>
    <row r="77" spans="1:5" x14ac:dyDescent="0.25">
      <c r="A77">
        <v>4000</v>
      </c>
      <c r="B77" t="s">
        <v>160</v>
      </c>
      <c r="C77" t="s">
        <v>170</v>
      </c>
      <c r="D77" t="s">
        <v>200</v>
      </c>
      <c r="E77">
        <f t="shared" si="10"/>
        <v>150</v>
      </c>
    </row>
    <row r="78" spans="1:5" x14ac:dyDescent="0.25">
      <c r="A78">
        <v>0</v>
      </c>
      <c r="B78" t="s">
        <v>155</v>
      </c>
      <c r="C78" t="s">
        <v>168</v>
      </c>
      <c r="D78" t="s">
        <v>200</v>
      </c>
      <c r="E78">
        <v>200</v>
      </c>
    </row>
    <row r="79" spans="1:5" x14ac:dyDescent="0.25">
      <c r="A79">
        <v>500</v>
      </c>
      <c r="B79" t="s">
        <v>156</v>
      </c>
      <c r="C79" t="s">
        <v>168</v>
      </c>
      <c r="D79" t="s">
        <v>200</v>
      </c>
      <c r="E79">
        <f>E78-10</f>
        <v>190</v>
      </c>
    </row>
    <row r="80" spans="1:5" x14ac:dyDescent="0.25">
      <c r="A80">
        <v>1000</v>
      </c>
      <c r="B80" t="s">
        <v>157</v>
      </c>
      <c r="C80" t="s">
        <v>168</v>
      </c>
      <c r="D80" t="s">
        <v>200</v>
      </c>
      <c r="E80">
        <f t="shared" ref="E80:E83" si="11">E79-10</f>
        <v>180</v>
      </c>
    </row>
    <row r="81" spans="1:5" x14ac:dyDescent="0.25">
      <c r="A81">
        <v>2000</v>
      </c>
      <c r="B81" t="s">
        <v>158</v>
      </c>
      <c r="C81" t="s">
        <v>168</v>
      </c>
      <c r="D81" t="s">
        <v>200</v>
      </c>
      <c r="E81">
        <f t="shared" si="11"/>
        <v>170</v>
      </c>
    </row>
    <row r="82" spans="1:5" x14ac:dyDescent="0.25">
      <c r="A82">
        <v>3000</v>
      </c>
      <c r="B82" t="s">
        <v>159</v>
      </c>
      <c r="C82" t="s">
        <v>168</v>
      </c>
      <c r="D82" t="s">
        <v>200</v>
      </c>
      <c r="E82">
        <f t="shared" si="11"/>
        <v>160</v>
      </c>
    </row>
    <row r="83" spans="1:5" x14ac:dyDescent="0.25">
      <c r="A83">
        <v>4000</v>
      </c>
      <c r="B83" t="s">
        <v>160</v>
      </c>
      <c r="C83" t="s">
        <v>168</v>
      </c>
      <c r="D83" t="s">
        <v>200</v>
      </c>
      <c r="E83">
        <f t="shared" si="11"/>
        <v>150</v>
      </c>
    </row>
    <row r="84" spans="1:5" x14ac:dyDescent="0.25">
      <c r="A84">
        <v>0</v>
      </c>
      <c r="B84" t="s">
        <v>155</v>
      </c>
      <c r="C84" t="s">
        <v>202</v>
      </c>
      <c r="D84" t="s">
        <v>200</v>
      </c>
      <c r="E84">
        <v>200</v>
      </c>
    </row>
    <row r="85" spans="1:5" x14ac:dyDescent="0.25">
      <c r="A85">
        <v>500</v>
      </c>
      <c r="B85" t="s">
        <v>156</v>
      </c>
      <c r="C85" t="s">
        <v>202</v>
      </c>
      <c r="D85" t="s">
        <v>200</v>
      </c>
      <c r="E85">
        <f>E84-10</f>
        <v>190</v>
      </c>
    </row>
    <row r="86" spans="1:5" x14ac:dyDescent="0.25">
      <c r="A86">
        <v>1000</v>
      </c>
      <c r="B86" t="s">
        <v>157</v>
      </c>
      <c r="C86" t="s">
        <v>202</v>
      </c>
      <c r="D86" t="s">
        <v>200</v>
      </c>
      <c r="E86">
        <f t="shared" ref="E86:E89" si="12">E85-10</f>
        <v>180</v>
      </c>
    </row>
    <row r="87" spans="1:5" x14ac:dyDescent="0.25">
      <c r="A87">
        <v>2000</v>
      </c>
      <c r="B87" t="s">
        <v>158</v>
      </c>
      <c r="C87" t="s">
        <v>202</v>
      </c>
      <c r="D87" t="s">
        <v>200</v>
      </c>
      <c r="E87">
        <f t="shared" si="12"/>
        <v>170</v>
      </c>
    </row>
    <row r="88" spans="1:5" x14ac:dyDescent="0.25">
      <c r="A88">
        <v>3000</v>
      </c>
      <c r="B88" t="s">
        <v>159</v>
      </c>
      <c r="C88" t="s">
        <v>202</v>
      </c>
      <c r="D88" t="s">
        <v>200</v>
      </c>
      <c r="E88">
        <f t="shared" si="12"/>
        <v>160</v>
      </c>
    </row>
    <row r="89" spans="1:5" x14ac:dyDescent="0.25">
      <c r="A89">
        <v>4000</v>
      </c>
      <c r="B89" t="s">
        <v>160</v>
      </c>
      <c r="C89" t="s">
        <v>202</v>
      </c>
      <c r="D89" t="s">
        <v>200</v>
      </c>
      <c r="E89">
        <f t="shared" si="12"/>
        <v>150</v>
      </c>
    </row>
    <row r="90" spans="1:5" x14ac:dyDescent="0.25">
      <c r="A90">
        <v>0</v>
      </c>
      <c r="B90" t="s">
        <v>155</v>
      </c>
      <c r="C90" t="s">
        <v>170</v>
      </c>
      <c r="D90" t="s">
        <v>201</v>
      </c>
      <c r="E90">
        <v>200</v>
      </c>
    </row>
    <row r="91" spans="1:5" x14ac:dyDescent="0.25">
      <c r="A91">
        <v>500</v>
      </c>
      <c r="B91" t="s">
        <v>156</v>
      </c>
      <c r="C91" t="s">
        <v>170</v>
      </c>
      <c r="D91" t="s">
        <v>201</v>
      </c>
      <c r="E91">
        <f>E90-10</f>
        <v>190</v>
      </c>
    </row>
    <row r="92" spans="1:5" x14ac:dyDescent="0.25">
      <c r="A92">
        <v>1000</v>
      </c>
      <c r="B92" t="s">
        <v>157</v>
      </c>
      <c r="C92" t="s">
        <v>170</v>
      </c>
      <c r="D92" t="s">
        <v>201</v>
      </c>
      <c r="E92">
        <f t="shared" ref="E92:E95" si="13">E91-10</f>
        <v>180</v>
      </c>
    </row>
    <row r="93" spans="1:5" x14ac:dyDescent="0.25">
      <c r="A93">
        <v>2000</v>
      </c>
      <c r="B93" t="s">
        <v>158</v>
      </c>
      <c r="C93" t="s">
        <v>170</v>
      </c>
      <c r="D93" t="s">
        <v>201</v>
      </c>
      <c r="E93">
        <f t="shared" si="13"/>
        <v>170</v>
      </c>
    </row>
    <row r="94" spans="1:5" x14ac:dyDescent="0.25">
      <c r="A94">
        <v>3000</v>
      </c>
      <c r="B94" t="s">
        <v>159</v>
      </c>
      <c r="C94" t="s">
        <v>170</v>
      </c>
      <c r="D94" t="s">
        <v>201</v>
      </c>
      <c r="E94">
        <f t="shared" si="13"/>
        <v>160</v>
      </c>
    </row>
    <row r="95" spans="1:5" x14ac:dyDescent="0.25">
      <c r="A95">
        <v>4000</v>
      </c>
      <c r="B95" t="s">
        <v>160</v>
      </c>
      <c r="C95" t="s">
        <v>170</v>
      </c>
      <c r="D95" t="s">
        <v>201</v>
      </c>
      <c r="E95">
        <f t="shared" si="13"/>
        <v>150</v>
      </c>
    </row>
    <row r="96" spans="1:5" x14ac:dyDescent="0.25">
      <c r="A96">
        <v>0</v>
      </c>
      <c r="B96" t="s">
        <v>155</v>
      </c>
      <c r="C96" t="s">
        <v>168</v>
      </c>
      <c r="D96" t="s">
        <v>201</v>
      </c>
      <c r="E96">
        <v>200</v>
      </c>
    </row>
    <row r="97" spans="1:5" x14ac:dyDescent="0.25">
      <c r="A97">
        <v>500</v>
      </c>
      <c r="B97" t="s">
        <v>156</v>
      </c>
      <c r="C97" t="s">
        <v>168</v>
      </c>
      <c r="D97" t="s">
        <v>201</v>
      </c>
      <c r="E97">
        <f>E96-10</f>
        <v>190</v>
      </c>
    </row>
    <row r="98" spans="1:5" x14ac:dyDescent="0.25">
      <c r="A98">
        <v>1000</v>
      </c>
      <c r="B98" t="s">
        <v>157</v>
      </c>
      <c r="C98" t="s">
        <v>168</v>
      </c>
      <c r="D98" t="s">
        <v>201</v>
      </c>
      <c r="E98">
        <f t="shared" ref="E98:E101" si="14">E97-10</f>
        <v>180</v>
      </c>
    </row>
    <row r="99" spans="1:5" x14ac:dyDescent="0.25">
      <c r="A99">
        <v>2000</v>
      </c>
      <c r="B99" t="s">
        <v>158</v>
      </c>
      <c r="C99" t="s">
        <v>168</v>
      </c>
      <c r="D99" t="s">
        <v>201</v>
      </c>
      <c r="E99">
        <f t="shared" si="14"/>
        <v>170</v>
      </c>
    </row>
    <row r="100" spans="1:5" x14ac:dyDescent="0.25">
      <c r="A100">
        <v>3000</v>
      </c>
      <c r="B100" t="s">
        <v>159</v>
      </c>
      <c r="C100" t="s">
        <v>168</v>
      </c>
      <c r="D100" t="s">
        <v>201</v>
      </c>
      <c r="E100">
        <f t="shared" si="14"/>
        <v>160</v>
      </c>
    </row>
    <row r="101" spans="1:5" x14ac:dyDescent="0.25">
      <c r="A101">
        <v>4000</v>
      </c>
      <c r="B101" t="s">
        <v>160</v>
      </c>
      <c r="C101" t="s">
        <v>168</v>
      </c>
      <c r="D101" t="s">
        <v>201</v>
      </c>
      <c r="E101">
        <f t="shared" si="14"/>
        <v>150</v>
      </c>
    </row>
    <row r="102" spans="1:5" x14ac:dyDescent="0.25">
      <c r="A102">
        <v>0</v>
      </c>
      <c r="B102" t="s">
        <v>155</v>
      </c>
      <c r="C102" t="s">
        <v>202</v>
      </c>
      <c r="D102" t="s">
        <v>201</v>
      </c>
      <c r="E102">
        <v>200</v>
      </c>
    </row>
    <row r="103" spans="1:5" x14ac:dyDescent="0.25">
      <c r="A103">
        <v>500</v>
      </c>
      <c r="B103" t="s">
        <v>156</v>
      </c>
      <c r="C103" t="s">
        <v>202</v>
      </c>
      <c r="D103" t="s">
        <v>201</v>
      </c>
      <c r="E103">
        <f>E102-10</f>
        <v>190</v>
      </c>
    </row>
    <row r="104" spans="1:5" x14ac:dyDescent="0.25">
      <c r="A104">
        <v>1000</v>
      </c>
      <c r="B104" t="s">
        <v>157</v>
      </c>
      <c r="C104" t="s">
        <v>202</v>
      </c>
      <c r="D104" t="s">
        <v>201</v>
      </c>
      <c r="E104">
        <f t="shared" ref="E104:E107" si="15">E103-10</f>
        <v>180</v>
      </c>
    </row>
    <row r="105" spans="1:5" x14ac:dyDescent="0.25">
      <c r="A105">
        <v>2000</v>
      </c>
      <c r="B105" t="s">
        <v>158</v>
      </c>
      <c r="C105" t="s">
        <v>202</v>
      </c>
      <c r="D105" t="s">
        <v>201</v>
      </c>
      <c r="E105">
        <f t="shared" si="15"/>
        <v>170</v>
      </c>
    </row>
    <row r="106" spans="1:5" x14ac:dyDescent="0.25">
      <c r="A106">
        <v>3000</v>
      </c>
      <c r="B106" t="s">
        <v>159</v>
      </c>
      <c r="C106" t="s">
        <v>202</v>
      </c>
      <c r="D106" t="s">
        <v>201</v>
      </c>
      <c r="E106">
        <f t="shared" si="15"/>
        <v>160</v>
      </c>
    </row>
    <row r="107" spans="1:5" x14ac:dyDescent="0.25">
      <c r="A107">
        <v>4000</v>
      </c>
      <c r="B107" t="s">
        <v>160</v>
      </c>
      <c r="C107" t="s">
        <v>202</v>
      </c>
      <c r="D107" t="s">
        <v>201</v>
      </c>
      <c r="E107">
        <f t="shared" si="15"/>
        <v>150</v>
      </c>
    </row>
  </sheetData>
  <mergeCells count="2">
    <mergeCell ref="A14:C14"/>
    <mergeCell ref="H1:L3"/>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EB094-9C84-46CA-A08F-BB540E85EAE8}">
  <sheetPr codeName="Sheet25"/>
  <dimension ref="A1:V76"/>
  <sheetViews>
    <sheetView zoomScaleNormal="100" workbookViewId="0">
      <selection activeCell="M28" sqref="M28"/>
    </sheetView>
  </sheetViews>
  <sheetFormatPr defaultRowHeight="15" x14ac:dyDescent="0.25"/>
  <cols>
    <col min="1" max="1" width="6" bestFit="1" customWidth="1"/>
    <col min="2" max="2" width="9.7109375" bestFit="1" customWidth="1"/>
    <col min="3" max="3" width="11.85546875" bestFit="1" customWidth="1"/>
    <col min="4" max="4" width="15.5703125" bestFit="1" customWidth="1"/>
    <col min="5" max="5" width="6" bestFit="1" customWidth="1"/>
    <col min="7" max="7" width="9.140625" customWidth="1"/>
    <col min="9" max="9" width="9.140625" customWidth="1"/>
    <col min="10" max="10" width="6" customWidth="1"/>
    <col min="11" max="11" width="8.85546875" customWidth="1"/>
    <col min="12" max="12" width="10.7109375" customWidth="1"/>
    <col min="13" max="13" width="10.28515625" customWidth="1"/>
    <col min="14" max="14" width="15.5703125" bestFit="1" customWidth="1"/>
    <col min="15" max="15" width="10.7109375" bestFit="1" customWidth="1"/>
    <col min="16" max="16" width="10" bestFit="1" customWidth="1"/>
    <col min="17" max="17" width="10.28515625" bestFit="1" customWidth="1"/>
    <col min="18" max="18" width="10.7109375" bestFit="1" customWidth="1"/>
    <col min="19" max="19" width="10.28515625" bestFit="1" customWidth="1"/>
    <col min="20" max="22" width="15.5703125" bestFit="1" customWidth="1"/>
  </cols>
  <sheetData>
    <row r="1" spans="1:22" x14ac:dyDescent="0.25">
      <c r="I1" s="50" t="s">
        <v>219</v>
      </c>
      <c r="J1" s="50"/>
      <c r="K1" s="50"/>
      <c r="L1" s="50"/>
      <c r="M1" s="50"/>
    </row>
    <row r="2" spans="1:22" x14ac:dyDescent="0.25">
      <c r="I2" s="50"/>
      <c r="J2" s="50"/>
      <c r="K2" s="50"/>
      <c r="L2" s="50"/>
      <c r="M2" s="50"/>
    </row>
    <row r="3" spans="1:22" x14ac:dyDescent="0.25">
      <c r="I3" s="50"/>
      <c r="J3" s="50"/>
      <c r="K3" s="50"/>
      <c r="L3" s="50"/>
      <c r="M3" s="50"/>
    </row>
    <row r="4" spans="1:22" x14ac:dyDescent="0.25">
      <c r="A4" t="s">
        <v>154</v>
      </c>
      <c r="B4" t="s">
        <v>169</v>
      </c>
      <c r="C4" t="s">
        <v>171</v>
      </c>
      <c r="D4" t="s">
        <v>172</v>
      </c>
      <c r="E4" t="s">
        <v>173</v>
      </c>
      <c r="K4" t="s">
        <v>198</v>
      </c>
      <c r="L4" t="s">
        <v>198</v>
      </c>
      <c r="M4" t="s">
        <v>198</v>
      </c>
      <c r="N4" t="s">
        <v>199</v>
      </c>
      <c r="O4" t="s">
        <v>199</v>
      </c>
      <c r="P4" t="s">
        <v>199</v>
      </c>
      <c r="Q4" t="s">
        <v>200</v>
      </c>
      <c r="R4" t="s">
        <v>200</v>
      </c>
      <c r="S4" t="s">
        <v>200</v>
      </c>
      <c r="T4" t="s">
        <v>201</v>
      </c>
      <c r="U4" t="s">
        <v>201</v>
      </c>
      <c r="V4" t="s">
        <v>201</v>
      </c>
    </row>
    <row r="5" spans="1:22" x14ac:dyDescent="0.25">
      <c r="A5">
        <v>0</v>
      </c>
      <c r="B5" t="s">
        <v>155</v>
      </c>
      <c r="C5" t="s">
        <v>170</v>
      </c>
      <c r="D5" t="s">
        <v>198</v>
      </c>
      <c r="E5">
        <v>200</v>
      </c>
      <c r="J5" t="s">
        <v>154</v>
      </c>
      <c r="K5" t="s">
        <v>170</v>
      </c>
      <c r="L5" t="s">
        <v>168</v>
      </c>
      <c r="M5" t="s">
        <v>202</v>
      </c>
      <c r="N5" t="s">
        <v>170</v>
      </c>
      <c r="O5" t="s">
        <v>168</v>
      </c>
      <c r="P5" t="s">
        <v>202</v>
      </c>
      <c r="Q5" t="s">
        <v>170</v>
      </c>
      <c r="R5" t="s">
        <v>168</v>
      </c>
      <c r="S5" t="s">
        <v>202</v>
      </c>
      <c r="T5" t="s">
        <v>170</v>
      </c>
      <c r="U5" t="s">
        <v>168</v>
      </c>
      <c r="V5" t="s">
        <v>202</v>
      </c>
    </row>
    <row r="6" spans="1:22" x14ac:dyDescent="0.25">
      <c r="A6">
        <v>500</v>
      </c>
      <c r="B6" t="s">
        <v>156</v>
      </c>
      <c r="C6" t="s">
        <v>170</v>
      </c>
      <c r="D6" t="s">
        <v>198</v>
      </c>
      <c r="E6">
        <f>E5-10</f>
        <v>190</v>
      </c>
      <c r="J6">
        <v>0</v>
      </c>
      <c r="K6">
        <f t="shared" ref="K6:V6" si="0">SUMIFS($E$5:$E$76,$C$5:$C$76,K$5,$D$5:$D$76,K$4,$A$5:$A$76,$J6)</f>
        <v>200</v>
      </c>
      <c r="L6">
        <f t="shared" si="0"/>
        <v>200</v>
      </c>
      <c r="M6">
        <f t="shared" si="0"/>
        <v>200</v>
      </c>
      <c r="N6">
        <f t="shared" si="0"/>
        <v>200</v>
      </c>
      <c r="O6">
        <f t="shared" si="0"/>
        <v>200</v>
      </c>
      <c r="P6">
        <f t="shared" si="0"/>
        <v>200</v>
      </c>
      <c r="Q6">
        <f t="shared" si="0"/>
        <v>200</v>
      </c>
      <c r="R6">
        <f t="shared" si="0"/>
        <v>200</v>
      </c>
      <c r="S6">
        <f t="shared" si="0"/>
        <v>200</v>
      </c>
      <c r="T6">
        <f t="shared" si="0"/>
        <v>200</v>
      </c>
      <c r="U6">
        <f t="shared" si="0"/>
        <v>200</v>
      </c>
      <c r="V6">
        <f t="shared" si="0"/>
        <v>200</v>
      </c>
    </row>
    <row r="7" spans="1:22" x14ac:dyDescent="0.25">
      <c r="A7">
        <v>1000</v>
      </c>
      <c r="B7" t="s">
        <v>157</v>
      </c>
      <c r="C7" t="s">
        <v>170</v>
      </c>
      <c r="D7" t="s">
        <v>198</v>
      </c>
      <c r="E7">
        <f t="shared" ref="E7:E9" si="1">E6-10</f>
        <v>180</v>
      </c>
      <c r="J7">
        <v>500</v>
      </c>
      <c r="K7">
        <f t="shared" ref="K7:K11" si="2">SUMIFS($E$5:$E$76,$C$5:$C$76,K$5,$D$5:$D$76,K$4,$A$5:$A$76,$J7)</f>
        <v>190</v>
      </c>
      <c r="L7">
        <f t="shared" ref="L7:V11" si="3">SUMIFS($E$5:$E$76,$C$5:$C$76,L$5,$D$5:$D$76,L$4,$A$5:$A$76,$J7)</f>
        <v>190</v>
      </c>
      <c r="M7">
        <f t="shared" si="3"/>
        <v>190</v>
      </c>
      <c r="N7">
        <f t="shared" si="3"/>
        <v>195</v>
      </c>
      <c r="O7">
        <f t="shared" si="3"/>
        <v>195</v>
      </c>
      <c r="P7">
        <f t="shared" si="3"/>
        <v>195</v>
      </c>
      <c r="Q7">
        <f t="shared" si="3"/>
        <v>196</v>
      </c>
      <c r="R7">
        <f t="shared" si="3"/>
        <v>190</v>
      </c>
      <c r="S7">
        <f t="shared" si="3"/>
        <v>190</v>
      </c>
      <c r="T7">
        <f t="shared" si="3"/>
        <v>190</v>
      </c>
      <c r="U7">
        <f t="shared" si="3"/>
        <v>190</v>
      </c>
      <c r="V7">
        <f t="shared" si="3"/>
        <v>190</v>
      </c>
    </row>
    <row r="8" spans="1:22" x14ac:dyDescent="0.25">
      <c r="A8">
        <v>2000</v>
      </c>
      <c r="B8" t="s">
        <v>158</v>
      </c>
      <c r="C8" t="s">
        <v>170</v>
      </c>
      <c r="D8" t="s">
        <v>198</v>
      </c>
      <c r="E8">
        <f t="shared" si="1"/>
        <v>170</v>
      </c>
      <c r="J8">
        <v>1000</v>
      </c>
      <c r="K8">
        <f>SUMIFS($E$5:$E$76,$C$5:$C$76,K$5,$D$5:$D$76,K$4,$A$5:$A$76,$J8)</f>
        <v>180</v>
      </c>
      <c r="L8">
        <f t="shared" si="3"/>
        <v>180</v>
      </c>
      <c r="M8">
        <f t="shared" si="3"/>
        <v>180</v>
      </c>
      <c r="N8">
        <f t="shared" si="3"/>
        <v>185</v>
      </c>
      <c r="O8">
        <f t="shared" si="3"/>
        <v>185</v>
      </c>
      <c r="P8">
        <f t="shared" si="3"/>
        <v>185</v>
      </c>
      <c r="Q8">
        <f t="shared" si="3"/>
        <v>186</v>
      </c>
      <c r="R8">
        <f t="shared" si="3"/>
        <v>180</v>
      </c>
      <c r="S8">
        <f t="shared" si="3"/>
        <v>180</v>
      </c>
      <c r="T8">
        <f t="shared" si="3"/>
        <v>180</v>
      </c>
      <c r="U8">
        <f t="shared" si="3"/>
        <v>180</v>
      </c>
      <c r="V8">
        <f t="shared" si="3"/>
        <v>180</v>
      </c>
    </row>
    <row r="9" spans="1:22" x14ac:dyDescent="0.25">
      <c r="A9">
        <v>3000</v>
      </c>
      <c r="B9" t="s">
        <v>159</v>
      </c>
      <c r="C9" t="s">
        <v>170</v>
      </c>
      <c r="D9" t="s">
        <v>198</v>
      </c>
      <c r="E9">
        <f t="shared" si="1"/>
        <v>160</v>
      </c>
      <c r="J9">
        <v>2000</v>
      </c>
      <c r="K9">
        <f t="shared" si="2"/>
        <v>170</v>
      </c>
      <c r="L9">
        <f t="shared" si="3"/>
        <v>170</v>
      </c>
      <c r="M9">
        <f t="shared" si="3"/>
        <v>170</v>
      </c>
      <c r="N9">
        <f t="shared" si="3"/>
        <v>175</v>
      </c>
      <c r="O9">
        <f t="shared" si="3"/>
        <v>175</v>
      </c>
      <c r="P9">
        <f t="shared" si="3"/>
        <v>175</v>
      </c>
      <c r="Q9">
        <f t="shared" si="3"/>
        <v>176</v>
      </c>
      <c r="R9">
        <f t="shared" si="3"/>
        <v>170</v>
      </c>
      <c r="S9">
        <f t="shared" si="3"/>
        <v>170</v>
      </c>
      <c r="T9">
        <f t="shared" si="3"/>
        <v>170</v>
      </c>
      <c r="U9">
        <f t="shared" si="3"/>
        <v>170</v>
      </c>
      <c r="V9">
        <f t="shared" si="3"/>
        <v>170</v>
      </c>
    </row>
    <row r="10" spans="1:22" x14ac:dyDescent="0.25">
      <c r="A10">
        <v>4000</v>
      </c>
      <c r="B10" t="s">
        <v>160</v>
      </c>
      <c r="C10" t="s">
        <v>170</v>
      </c>
      <c r="D10" t="s">
        <v>198</v>
      </c>
      <c r="E10">
        <f>E9-10</f>
        <v>150</v>
      </c>
      <c r="J10">
        <v>3000</v>
      </c>
      <c r="K10">
        <f t="shared" si="2"/>
        <v>160</v>
      </c>
      <c r="L10">
        <f t="shared" si="3"/>
        <v>160</v>
      </c>
      <c r="M10">
        <f t="shared" si="3"/>
        <v>160</v>
      </c>
      <c r="N10">
        <f t="shared" si="3"/>
        <v>165</v>
      </c>
      <c r="O10">
        <f t="shared" si="3"/>
        <v>165</v>
      </c>
      <c r="P10">
        <f t="shared" si="3"/>
        <v>165</v>
      </c>
      <c r="Q10">
        <f t="shared" si="3"/>
        <v>166</v>
      </c>
      <c r="R10">
        <f t="shared" si="3"/>
        <v>160</v>
      </c>
      <c r="S10">
        <f t="shared" si="3"/>
        <v>160</v>
      </c>
      <c r="T10">
        <f t="shared" si="3"/>
        <v>160</v>
      </c>
      <c r="U10">
        <f t="shared" si="3"/>
        <v>160</v>
      </c>
      <c r="V10">
        <f t="shared" si="3"/>
        <v>160</v>
      </c>
    </row>
    <row r="11" spans="1:22" x14ac:dyDescent="0.25">
      <c r="A11">
        <v>0</v>
      </c>
      <c r="B11" t="s">
        <v>155</v>
      </c>
      <c r="C11" t="s">
        <v>168</v>
      </c>
      <c r="D11" t="s">
        <v>198</v>
      </c>
      <c r="E11">
        <v>200</v>
      </c>
      <c r="J11">
        <v>4000</v>
      </c>
      <c r="K11">
        <f t="shared" si="2"/>
        <v>150</v>
      </c>
      <c r="L11">
        <f t="shared" si="3"/>
        <v>150</v>
      </c>
      <c r="M11">
        <f t="shared" si="3"/>
        <v>150</v>
      </c>
      <c r="N11">
        <f t="shared" si="3"/>
        <v>155</v>
      </c>
      <c r="O11">
        <f t="shared" si="3"/>
        <v>155</v>
      </c>
      <c r="P11">
        <f t="shared" si="3"/>
        <v>155</v>
      </c>
      <c r="Q11">
        <f t="shared" si="3"/>
        <v>156</v>
      </c>
      <c r="R11">
        <f t="shared" si="3"/>
        <v>150</v>
      </c>
      <c r="S11">
        <f t="shared" si="3"/>
        <v>150</v>
      </c>
      <c r="T11">
        <f t="shared" si="3"/>
        <v>150</v>
      </c>
      <c r="U11">
        <f t="shared" si="3"/>
        <v>150</v>
      </c>
      <c r="V11">
        <f t="shared" si="3"/>
        <v>150</v>
      </c>
    </row>
    <row r="12" spans="1:22" x14ac:dyDescent="0.25">
      <c r="A12">
        <v>500</v>
      </c>
      <c r="B12" t="s">
        <v>156</v>
      </c>
      <c r="C12" t="s">
        <v>168</v>
      </c>
      <c r="D12" t="s">
        <v>198</v>
      </c>
      <c r="E12">
        <f>E11-10</f>
        <v>190</v>
      </c>
    </row>
    <row r="13" spans="1:22" x14ac:dyDescent="0.25">
      <c r="A13">
        <v>1000</v>
      </c>
      <c r="B13" t="s">
        <v>157</v>
      </c>
      <c r="C13" t="s">
        <v>168</v>
      </c>
      <c r="D13" t="s">
        <v>198</v>
      </c>
      <c r="E13">
        <f t="shared" ref="E13:E16" si="4">E12-10</f>
        <v>180</v>
      </c>
    </row>
    <row r="14" spans="1:22" x14ac:dyDescent="0.25">
      <c r="A14">
        <v>2000</v>
      </c>
      <c r="B14" t="s">
        <v>158</v>
      </c>
      <c r="C14" t="s">
        <v>168</v>
      </c>
      <c r="D14" t="s">
        <v>198</v>
      </c>
      <c r="E14">
        <f t="shared" si="4"/>
        <v>170</v>
      </c>
    </row>
    <row r="15" spans="1:22" x14ac:dyDescent="0.25">
      <c r="A15">
        <v>3000</v>
      </c>
      <c r="B15" t="s">
        <v>159</v>
      </c>
      <c r="C15" t="s">
        <v>168</v>
      </c>
      <c r="D15" t="s">
        <v>198</v>
      </c>
      <c r="E15">
        <f t="shared" si="4"/>
        <v>160</v>
      </c>
    </row>
    <row r="16" spans="1:22" x14ac:dyDescent="0.25">
      <c r="A16">
        <v>4000</v>
      </c>
      <c r="B16" t="s">
        <v>160</v>
      </c>
      <c r="C16" t="s">
        <v>168</v>
      </c>
      <c r="D16" t="s">
        <v>198</v>
      </c>
      <c r="E16">
        <f t="shared" si="4"/>
        <v>150</v>
      </c>
      <c r="K16" t="s">
        <v>198</v>
      </c>
      <c r="L16" t="s">
        <v>199</v>
      </c>
      <c r="M16" t="s">
        <v>200</v>
      </c>
      <c r="N16" t="s">
        <v>201</v>
      </c>
      <c r="S16" t="s">
        <v>198</v>
      </c>
      <c r="T16" t="s">
        <v>199</v>
      </c>
      <c r="U16" t="s">
        <v>200</v>
      </c>
      <c r="V16" t="s">
        <v>201</v>
      </c>
    </row>
    <row r="17" spans="1:22" x14ac:dyDescent="0.25">
      <c r="A17">
        <v>0</v>
      </c>
      <c r="B17" t="s">
        <v>155</v>
      </c>
      <c r="C17" t="s">
        <v>202</v>
      </c>
      <c r="D17" t="s">
        <v>198</v>
      </c>
      <c r="E17">
        <v>200</v>
      </c>
      <c r="J17" t="s">
        <v>154</v>
      </c>
      <c r="K17" t="s">
        <v>170</v>
      </c>
      <c r="L17" t="s">
        <v>168</v>
      </c>
      <c r="M17" t="s">
        <v>202</v>
      </c>
      <c r="N17" t="s">
        <v>170</v>
      </c>
      <c r="R17" t="s">
        <v>154</v>
      </c>
      <c r="S17" t="s">
        <v>170</v>
      </c>
      <c r="T17" t="s">
        <v>168</v>
      </c>
      <c r="U17" t="s">
        <v>202</v>
      </c>
      <c r="V17" t="s">
        <v>170</v>
      </c>
    </row>
    <row r="18" spans="1:22" x14ac:dyDescent="0.25">
      <c r="A18">
        <v>500</v>
      </c>
      <c r="B18" t="s">
        <v>156</v>
      </c>
      <c r="C18" t="s">
        <v>202</v>
      </c>
      <c r="D18" t="s">
        <v>198</v>
      </c>
      <c r="E18">
        <f>E17-10</f>
        <v>190</v>
      </c>
      <c r="J18">
        <v>0</v>
      </c>
      <c r="K18">
        <f t="array" ref="K18">INDEX($K$6:$V$11,MATCH($J18,$J$6:$J$11,0),MATCH(K$17&amp;K$16,$K$5:$V$5&amp;$K$4:$V$4,0))</f>
        <v>200</v>
      </c>
      <c r="L18">
        <f t="array" ref="L18">INDEX($K$6:$V$11,MATCH($J18,$J$6:$J$11,0),MATCH(L$17&amp;L$16,$K$5:$V$5&amp;$K$4:$V$4,0))</f>
        <v>200</v>
      </c>
      <c r="M18">
        <f t="array" ref="M18">INDEX($K$6:$V$11,MATCH($J18,$J$6:$J$11,0),MATCH(M$17&amp;M$16,$K$5:$V$5&amp;$K$4:$V$4,0))</f>
        <v>200</v>
      </c>
      <c r="N18">
        <f t="array" ref="N18">INDEX($K$6:$V$11,MATCH($J18,$J$6:$J$11,0),MATCH(N$17&amp;N$16,$K$5:$V$5&amp;$K$4:$V$4,0))</f>
        <v>200</v>
      </c>
      <c r="R18">
        <v>0</v>
      </c>
      <c r="S18">
        <f t="array" ref="S18">VLOOKUP($R18,$J$4:$V$11,MATCH(S$17&amp;S$16,$J$5:$V$5&amp;$J$4:$V$4,0),0)</f>
        <v>200</v>
      </c>
      <c r="T18">
        <f t="array" ref="T18">VLOOKUP($R18,$J$4:$V$11,MATCH(T$17&amp;T$16,$J$5:$V$5&amp;$J$4:$V$4,0),0)</f>
        <v>200</v>
      </c>
      <c r="U18">
        <f t="array" ref="U18">VLOOKUP($R18,$J$4:$V$11,MATCH(U$17&amp;U$16,$J$5:$V$5&amp;$J$4:$V$4,0),0)</f>
        <v>200</v>
      </c>
      <c r="V18">
        <f t="array" ref="V18">VLOOKUP($R18,$J$4:$V$11,MATCH(V$17&amp;V$16,$J$5:$V$5&amp;$J$4:$V$4,0),0)</f>
        <v>200</v>
      </c>
    </row>
    <row r="19" spans="1:22" x14ac:dyDescent="0.25">
      <c r="A19">
        <v>1000</v>
      </c>
      <c r="B19" t="s">
        <v>157</v>
      </c>
      <c r="C19" t="s">
        <v>202</v>
      </c>
      <c r="D19" t="s">
        <v>198</v>
      </c>
      <c r="E19">
        <f t="shared" ref="E19:E22" si="5">E18-10</f>
        <v>180</v>
      </c>
      <c r="J19">
        <v>500</v>
      </c>
      <c r="K19">
        <f t="array" ref="K19">INDEX($K$6:$V$11,MATCH($J19,$J$6:$J$11,0),MATCH(K$17&amp;K$16,$K$5:$V$5&amp;$K$4:$V$4,0))</f>
        <v>190</v>
      </c>
      <c r="L19">
        <f t="array" ref="L19">INDEX($K$6:$V$11,MATCH($J19,$J$6:$J$11,0),MATCH(L$17&amp;L$16,$K$5:$V$5&amp;$K$4:$V$4,0))</f>
        <v>195</v>
      </c>
      <c r="M19">
        <f t="array" ref="M19">INDEX($K$6:$V$11,MATCH($J19,$J$6:$J$11,0),MATCH(M$17&amp;M$16,$K$5:$V$5&amp;$K$4:$V$4,0))</f>
        <v>190</v>
      </c>
      <c r="N19">
        <f t="array" ref="N19">INDEX($K$6:$V$11,MATCH($J19,$J$6:$J$11,0),MATCH(N$17&amp;N$16,$K$5:$V$5&amp;$K$4:$V$4,0))</f>
        <v>190</v>
      </c>
      <c r="R19">
        <v>500</v>
      </c>
      <c r="S19">
        <f t="array" ref="S19">VLOOKUP($R19,$J$4:$V$11,MATCH(S$17&amp;S$16,$J$5:$V$5&amp;$J$4:$V$4,0),0)</f>
        <v>190</v>
      </c>
      <c r="T19">
        <f t="array" ref="T19">VLOOKUP($R19,$J$4:$V$11,MATCH(T$17&amp;T$16,$J$5:$V$5&amp;$J$4:$V$4,0),0)</f>
        <v>195</v>
      </c>
      <c r="U19">
        <f t="array" ref="U19">VLOOKUP($R19,$J$4:$V$11,MATCH(U$17&amp;U$16,$J$5:$V$5&amp;$J$4:$V$4,0),0)</f>
        <v>190</v>
      </c>
      <c r="V19">
        <f t="array" ref="V19">VLOOKUP($R19,$J$4:$V$11,MATCH(V$17&amp;V$16,$J$5:$V$5&amp;$J$4:$V$4,0),0)</f>
        <v>190</v>
      </c>
    </row>
    <row r="20" spans="1:22" x14ac:dyDescent="0.25">
      <c r="A20">
        <v>2000</v>
      </c>
      <c r="B20" t="s">
        <v>158</v>
      </c>
      <c r="C20" t="s">
        <v>202</v>
      </c>
      <c r="D20" t="s">
        <v>198</v>
      </c>
      <c r="E20">
        <f t="shared" si="5"/>
        <v>170</v>
      </c>
      <c r="J20">
        <v>1000</v>
      </c>
      <c r="K20">
        <f t="array" ref="K20">INDEX($K$6:$V$11,MATCH($J20,$J$6:$J$11,0),MATCH(K$17&amp;K$16,$K$5:$V$5&amp;$K$4:$V$4,0))</f>
        <v>180</v>
      </c>
      <c r="L20">
        <f t="array" ref="L20">INDEX($K$6:$V$11,MATCH($J20,$J$6:$J$11,0),MATCH(L$17&amp;L$16,$K$5:$V$5&amp;$K$4:$V$4,0))</f>
        <v>185</v>
      </c>
      <c r="M20">
        <f t="array" ref="M20">INDEX($K$6:$V$11,MATCH($J20,$J$6:$J$11,0),MATCH(M$17&amp;M$16,$K$5:$V$5&amp;$K$4:$V$4,0))</f>
        <v>180</v>
      </c>
      <c r="N20">
        <f t="array" ref="N20">INDEX($K$6:$V$11,MATCH($J20,$J$6:$J$11,0),MATCH(N$17&amp;N$16,$K$5:$V$5&amp;$K$4:$V$4,0))</f>
        <v>180</v>
      </c>
      <c r="R20">
        <v>1000</v>
      </c>
      <c r="S20">
        <f t="array" ref="S20">VLOOKUP($R20,$J$4:$V$11,MATCH(S$17&amp;S$16,$J$5:$V$5&amp;$J$4:$V$4,0),0)</f>
        <v>180</v>
      </c>
      <c r="T20">
        <f t="array" ref="T20">VLOOKUP($R20,$J$4:$V$11,MATCH(T$17&amp;T$16,$J$5:$V$5&amp;$J$4:$V$4,0),0)</f>
        <v>185</v>
      </c>
      <c r="U20">
        <f t="array" ref="U20">VLOOKUP($R20,$J$4:$V$11,MATCH(U$17&amp;U$16,$J$5:$V$5&amp;$J$4:$V$4,0),0)</f>
        <v>180</v>
      </c>
      <c r="V20">
        <f t="array" ref="V20">VLOOKUP($R20,$J$4:$V$11,MATCH(V$17&amp;V$16,$J$5:$V$5&amp;$J$4:$V$4,0),0)</f>
        <v>180</v>
      </c>
    </row>
    <row r="21" spans="1:22" x14ac:dyDescent="0.25">
      <c r="A21">
        <v>3000</v>
      </c>
      <c r="B21" t="s">
        <v>159</v>
      </c>
      <c r="C21" t="s">
        <v>202</v>
      </c>
      <c r="D21" t="s">
        <v>198</v>
      </c>
      <c r="E21">
        <f t="shared" si="5"/>
        <v>160</v>
      </c>
      <c r="J21">
        <v>2000</v>
      </c>
      <c r="K21">
        <f t="array" ref="K21">INDEX($K$6:$V$11,MATCH($J21,$J$6:$J$11,0),MATCH(K$17&amp;K$16,$K$5:$V$5&amp;$K$4:$V$4,0))</f>
        <v>170</v>
      </c>
      <c r="L21">
        <f t="array" ref="L21">INDEX($K$6:$V$11,MATCH($J21,$J$6:$J$11,0),MATCH(L$17&amp;L$16,$K$5:$V$5&amp;$K$4:$V$4,0))</f>
        <v>175</v>
      </c>
      <c r="M21">
        <f t="array" ref="M21">INDEX($K$6:$V$11,MATCH($J21,$J$6:$J$11,0),MATCH(M$17&amp;M$16,$K$5:$V$5&amp;$K$4:$V$4,0))</f>
        <v>170</v>
      </c>
      <c r="N21">
        <f t="array" ref="N21">INDEX($K$6:$V$11,MATCH($J21,$J$6:$J$11,0),MATCH(N$17&amp;N$16,$K$5:$V$5&amp;$K$4:$V$4,0))</f>
        <v>170</v>
      </c>
      <c r="R21">
        <v>2000</v>
      </c>
      <c r="S21">
        <f t="array" ref="S21">VLOOKUP($R21,$J$4:$V$11,MATCH(S$17&amp;S$16,$J$5:$V$5&amp;$J$4:$V$4,0),0)</f>
        <v>170</v>
      </c>
      <c r="T21">
        <f t="array" ref="T21">VLOOKUP($R21,$J$4:$V$11,MATCH(T$17&amp;T$16,$J$5:$V$5&amp;$J$4:$V$4,0),0)</f>
        <v>175</v>
      </c>
      <c r="U21">
        <f t="array" ref="U21">VLOOKUP($R21,$J$4:$V$11,MATCH(U$17&amp;U$16,$J$5:$V$5&amp;$J$4:$V$4,0),0)</f>
        <v>170</v>
      </c>
      <c r="V21">
        <f t="array" ref="V21">VLOOKUP($R21,$J$4:$V$11,MATCH(V$17&amp;V$16,$J$5:$V$5&amp;$J$4:$V$4,0),0)</f>
        <v>170</v>
      </c>
    </row>
    <row r="22" spans="1:22" x14ac:dyDescent="0.25">
      <c r="A22">
        <v>4000</v>
      </c>
      <c r="B22" t="s">
        <v>160</v>
      </c>
      <c r="C22" t="s">
        <v>202</v>
      </c>
      <c r="D22" t="s">
        <v>198</v>
      </c>
      <c r="E22">
        <f t="shared" si="5"/>
        <v>150</v>
      </c>
      <c r="J22">
        <v>3000</v>
      </c>
      <c r="K22">
        <f t="array" ref="K22">INDEX($K$6:$V$11,MATCH($J22,$J$6:$J$11,0),MATCH(K$17&amp;K$16,$K$5:$V$5&amp;$K$4:$V$4,0))</f>
        <v>160</v>
      </c>
      <c r="L22">
        <f t="array" ref="L22">INDEX($K$6:$V$11,MATCH($J22,$J$6:$J$11,0),MATCH(L$17&amp;L$16,$K$5:$V$5&amp;$K$4:$V$4,0))</f>
        <v>165</v>
      </c>
      <c r="M22">
        <f t="array" ref="M22">INDEX($K$6:$V$11,MATCH($J22,$J$6:$J$11,0),MATCH(M$17&amp;M$16,$K$5:$V$5&amp;$K$4:$V$4,0))</f>
        <v>160</v>
      </c>
      <c r="N22">
        <f t="array" ref="N22">INDEX($K$6:$V$11,MATCH($J22,$J$6:$J$11,0),MATCH(N$17&amp;N$16,$K$5:$V$5&amp;$K$4:$V$4,0))</f>
        <v>160</v>
      </c>
      <c r="R22">
        <v>3000</v>
      </c>
      <c r="S22">
        <f t="array" ref="S22">VLOOKUP($R22,$J$4:$V$11,MATCH(S$17&amp;S$16,$J$5:$V$5&amp;$J$4:$V$4,0),0)</f>
        <v>160</v>
      </c>
      <c r="T22">
        <f t="array" ref="T22">VLOOKUP($R22,$J$4:$V$11,MATCH(T$17&amp;T$16,$J$5:$V$5&amp;$J$4:$V$4,0),0)</f>
        <v>165</v>
      </c>
      <c r="U22">
        <f t="array" ref="U22">VLOOKUP($R22,$J$4:$V$11,MATCH(U$17&amp;U$16,$J$5:$V$5&amp;$J$4:$V$4,0),0)</f>
        <v>160</v>
      </c>
      <c r="V22">
        <f t="array" ref="V22">VLOOKUP($R22,$J$4:$V$11,MATCH(V$17&amp;V$16,$J$5:$V$5&amp;$J$4:$V$4,0),0)</f>
        <v>160</v>
      </c>
    </row>
    <row r="23" spans="1:22" x14ac:dyDescent="0.25">
      <c r="A23">
        <v>0</v>
      </c>
      <c r="B23" t="s">
        <v>155</v>
      </c>
      <c r="C23" t="s">
        <v>170</v>
      </c>
      <c r="D23" t="s">
        <v>199</v>
      </c>
      <c r="E23">
        <v>200</v>
      </c>
      <c r="J23">
        <v>4000</v>
      </c>
      <c r="K23">
        <f t="array" ref="K23">INDEX($K$6:$V$11,MATCH($J23,$J$6:$J$11,0),MATCH(K$17&amp;K$16,$K$5:$V$5&amp;$K$4:$V$4,0))</f>
        <v>150</v>
      </c>
      <c r="L23">
        <f t="array" ref="L23">INDEX($K$6:$V$11,MATCH($J23,$J$6:$J$11,0),MATCH(L$17&amp;L$16,$K$5:$V$5&amp;$K$4:$V$4,0))</f>
        <v>155</v>
      </c>
      <c r="M23">
        <f t="array" ref="M23">INDEX($K$6:$V$11,MATCH($J23,$J$6:$J$11,0),MATCH(M$17&amp;M$16,$K$5:$V$5&amp;$K$4:$V$4,0))</f>
        <v>150</v>
      </c>
      <c r="N23">
        <f t="array" ref="N23">INDEX($K$6:$V$11,MATCH($J23,$J$6:$J$11,0),MATCH(N$17&amp;N$16,$K$5:$V$5&amp;$K$4:$V$4,0))</f>
        <v>150</v>
      </c>
      <c r="R23">
        <v>4000</v>
      </c>
      <c r="S23">
        <f t="array" ref="S23">VLOOKUP($R23,$J$4:$V$11,MATCH(S$17&amp;S$16,$J$5:$V$5&amp;$J$4:$V$4,0),0)</f>
        <v>150</v>
      </c>
      <c r="T23">
        <f t="array" ref="T23">VLOOKUP($R23,$J$4:$V$11,MATCH(T$17&amp;T$16,$J$5:$V$5&amp;$J$4:$V$4,0),0)</f>
        <v>155</v>
      </c>
      <c r="U23">
        <f t="array" ref="U23">VLOOKUP($R23,$J$4:$V$11,MATCH(U$17&amp;U$16,$J$5:$V$5&amp;$J$4:$V$4,0),0)</f>
        <v>150</v>
      </c>
      <c r="V23">
        <f t="array" ref="V23">VLOOKUP($R23,$J$4:$V$11,MATCH(V$17&amp;V$16,$J$5:$V$5&amp;$J$4:$V$4,0),0)</f>
        <v>150</v>
      </c>
    </row>
    <row r="24" spans="1:22" x14ac:dyDescent="0.25">
      <c r="A24">
        <v>500</v>
      </c>
      <c r="B24" t="s">
        <v>156</v>
      </c>
      <c r="C24" t="s">
        <v>170</v>
      </c>
      <c r="D24" t="s">
        <v>199</v>
      </c>
      <c r="E24">
        <f>E23-5</f>
        <v>195</v>
      </c>
    </row>
    <row r="25" spans="1:22" x14ac:dyDescent="0.25">
      <c r="A25">
        <v>1000</v>
      </c>
      <c r="B25" t="s">
        <v>157</v>
      </c>
      <c r="C25" t="s">
        <v>170</v>
      </c>
      <c r="D25" t="s">
        <v>199</v>
      </c>
      <c r="E25">
        <f t="shared" ref="E25:E28" si="6">E24-10</f>
        <v>185</v>
      </c>
    </row>
    <row r="26" spans="1:22" x14ac:dyDescent="0.25">
      <c r="A26">
        <v>2000</v>
      </c>
      <c r="B26" t="s">
        <v>158</v>
      </c>
      <c r="C26" t="s">
        <v>170</v>
      </c>
      <c r="D26" t="s">
        <v>199</v>
      </c>
      <c r="E26">
        <f t="shared" si="6"/>
        <v>175</v>
      </c>
    </row>
    <row r="27" spans="1:22" x14ac:dyDescent="0.25">
      <c r="A27">
        <v>3000</v>
      </c>
      <c r="B27" t="s">
        <v>159</v>
      </c>
      <c r="C27" t="s">
        <v>170</v>
      </c>
      <c r="D27" t="s">
        <v>199</v>
      </c>
      <c r="E27">
        <f t="shared" si="6"/>
        <v>165</v>
      </c>
    </row>
    <row r="28" spans="1:22" x14ac:dyDescent="0.25">
      <c r="A28">
        <v>4000</v>
      </c>
      <c r="B28" t="s">
        <v>160</v>
      </c>
      <c r="C28" t="s">
        <v>170</v>
      </c>
      <c r="D28" t="s">
        <v>199</v>
      </c>
      <c r="E28">
        <f t="shared" si="6"/>
        <v>155</v>
      </c>
    </row>
    <row r="29" spans="1:22" x14ac:dyDescent="0.25">
      <c r="A29">
        <v>0</v>
      </c>
      <c r="B29" t="s">
        <v>155</v>
      </c>
      <c r="C29" t="s">
        <v>168</v>
      </c>
      <c r="D29" t="s">
        <v>199</v>
      </c>
      <c r="E29">
        <v>200</v>
      </c>
    </row>
    <row r="30" spans="1:22" x14ac:dyDescent="0.25">
      <c r="A30">
        <v>500</v>
      </c>
      <c r="B30" t="s">
        <v>156</v>
      </c>
      <c r="C30" t="s">
        <v>168</v>
      </c>
      <c r="D30" t="s">
        <v>199</v>
      </c>
      <c r="E30">
        <f>E29-5</f>
        <v>195</v>
      </c>
    </row>
    <row r="31" spans="1:22" x14ac:dyDescent="0.25">
      <c r="A31">
        <v>1000</v>
      </c>
      <c r="B31" t="s">
        <v>157</v>
      </c>
      <c r="C31" t="s">
        <v>168</v>
      </c>
      <c r="D31" t="s">
        <v>199</v>
      </c>
      <c r="E31">
        <f t="shared" ref="E31:E34" si="7">E30-10</f>
        <v>185</v>
      </c>
    </row>
    <row r="32" spans="1:22" x14ac:dyDescent="0.25">
      <c r="A32">
        <v>2000</v>
      </c>
      <c r="B32" t="s">
        <v>158</v>
      </c>
      <c r="C32" t="s">
        <v>168</v>
      </c>
      <c r="D32" t="s">
        <v>199</v>
      </c>
      <c r="E32">
        <f t="shared" si="7"/>
        <v>175</v>
      </c>
    </row>
    <row r="33" spans="1:5" x14ac:dyDescent="0.25">
      <c r="A33">
        <v>3000</v>
      </c>
      <c r="B33" t="s">
        <v>159</v>
      </c>
      <c r="C33" t="s">
        <v>168</v>
      </c>
      <c r="D33" t="s">
        <v>199</v>
      </c>
      <c r="E33">
        <f t="shared" si="7"/>
        <v>165</v>
      </c>
    </row>
    <row r="34" spans="1:5" x14ac:dyDescent="0.25">
      <c r="A34">
        <v>4000</v>
      </c>
      <c r="B34" t="s">
        <v>160</v>
      </c>
      <c r="C34" t="s">
        <v>168</v>
      </c>
      <c r="D34" t="s">
        <v>199</v>
      </c>
      <c r="E34">
        <f t="shared" si="7"/>
        <v>155</v>
      </c>
    </row>
    <row r="35" spans="1:5" x14ac:dyDescent="0.25">
      <c r="A35">
        <v>0</v>
      </c>
      <c r="B35" t="s">
        <v>155</v>
      </c>
      <c r="C35" t="s">
        <v>202</v>
      </c>
      <c r="D35" t="s">
        <v>199</v>
      </c>
      <c r="E35">
        <v>200</v>
      </c>
    </row>
    <row r="36" spans="1:5" x14ac:dyDescent="0.25">
      <c r="A36">
        <v>500</v>
      </c>
      <c r="B36" t="s">
        <v>156</v>
      </c>
      <c r="C36" t="s">
        <v>202</v>
      </c>
      <c r="D36" t="s">
        <v>199</v>
      </c>
      <c r="E36">
        <f>E35-5</f>
        <v>195</v>
      </c>
    </row>
    <row r="37" spans="1:5" x14ac:dyDescent="0.25">
      <c r="A37">
        <v>1000</v>
      </c>
      <c r="B37" t="s">
        <v>157</v>
      </c>
      <c r="C37" t="s">
        <v>202</v>
      </c>
      <c r="D37" t="s">
        <v>199</v>
      </c>
      <c r="E37">
        <f t="shared" ref="E37:E40" si="8">E36-10</f>
        <v>185</v>
      </c>
    </row>
    <row r="38" spans="1:5" x14ac:dyDescent="0.25">
      <c r="A38">
        <v>2000</v>
      </c>
      <c r="B38" t="s">
        <v>158</v>
      </c>
      <c r="C38" t="s">
        <v>202</v>
      </c>
      <c r="D38" t="s">
        <v>199</v>
      </c>
      <c r="E38">
        <f t="shared" si="8"/>
        <v>175</v>
      </c>
    </row>
    <row r="39" spans="1:5" x14ac:dyDescent="0.25">
      <c r="A39">
        <v>3000</v>
      </c>
      <c r="B39" t="s">
        <v>159</v>
      </c>
      <c r="C39" t="s">
        <v>202</v>
      </c>
      <c r="D39" t="s">
        <v>199</v>
      </c>
      <c r="E39">
        <f t="shared" si="8"/>
        <v>165</v>
      </c>
    </row>
    <row r="40" spans="1:5" x14ac:dyDescent="0.25">
      <c r="A40">
        <v>4000</v>
      </c>
      <c r="B40" t="s">
        <v>160</v>
      </c>
      <c r="C40" t="s">
        <v>202</v>
      </c>
      <c r="D40" t="s">
        <v>199</v>
      </c>
      <c r="E40">
        <f t="shared" si="8"/>
        <v>155</v>
      </c>
    </row>
    <row r="41" spans="1:5" x14ac:dyDescent="0.25">
      <c r="A41">
        <v>0</v>
      </c>
      <c r="B41" t="s">
        <v>155</v>
      </c>
      <c r="C41" t="s">
        <v>170</v>
      </c>
      <c r="D41" t="s">
        <v>200</v>
      </c>
      <c r="E41">
        <v>200</v>
      </c>
    </row>
    <row r="42" spans="1:5" x14ac:dyDescent="0.25">
      <c r="A42">
        <v>500</v>
      </c>
      <c r="B42" t="s">
        <v>156</v>
      </c>
      <c r="C42" t="s">
        <v>170</v>
      </c>
      <c r="D42" t="s">
        <v>200</v>
      </c>
      <c r="E42">
        <f>E41-4</f>
        <v>196</v>
      </c>
    </row>
    <row r="43" spans="1:5" x14ac:dyDescent="0.25">
      <c r="A43">
        <v>1000</v>
      </c>
      <c r="B43" t="s">
        <v>157</v>
      </c>
      <c r="C43" t="s">
        <v>170</v>
      </c>
      <c r="D43" t="s">
        <v>200</v>
      </c>
      <c r="E43">
        <f t="shared" ref="E43:E46" si="9">E42-10</f>
        <v>186</v>
      </c>
    </row>
    <row r="44" spans="1:5" x14ac:dyDescent="0.25">
      <c r="A44">
        <v>2000</v>
      </c>
      <c r="B44" t="s">
        <v>158</v>
      </c>
      <c r="C44" t="s">
        <v>170</v>
      </c>
      <c r="D44" t="s">
        <v>200</v>
      </c>
      <c r="E44">
        <f t="shared" si="9"/>
        <v>176</v>
      </c>
    </row>
    <row r="45" spans="1:5" x14ac:dyDescent="0.25">
      <c r="A45">
        <v>3000</v>
      </c>
      <c r="B45" t="s">
        <v>159</v>
      </c>
      <c r="C45" t="s">
        <v>170</v>
      </c>
      <c r="D45" t="s">
        <v>200</v>
      </c>
      <c r="E45">
        <f t="shared" si="9"/>
        <v>166</v>
      </c>
    </row>
    <row r="46" spans="1:5" x14ac:dyDescent="0.25">
      <c r="A46">
        <v>4000</v>
      </c>
      <c r="B46" t="s">
        <v>160</v>
      </c>
      <c r="C46" t="s">
        <v>170</v>
      </c>
      <c r="D46" t="s">
        <v>200</v>
      </c>
      <c r="E46">
        <f t="shared" si="9"/>
        <v>156</v>
      </c>
    </row>
    <row r="47" spans="1:5" x14ac:dyDescent="0.25">
      <c r="A47">
        <v>0</v>
      </c>
      <c r="B47" t="s">
        <v>155</v>
      </c>
      <c r="C47" t="s">
        <v>168</v>
      </c>
      <c r="D47" t="s">
        <v>200</v>
      </c>
      <c r="E47">
        <v>200</v>
      </c>
    </row>
    <row r="48" spans="1:5" x14ac:dyDescent="0.25">
      <c r="A48">
        <v>500</v>
      </c>
      <c r="B48" t="s">
        <v>156</v>
      </c>
      <c r="C48" t="s">
        <v>168</v>
      </c>
      <c r="D48" t="s">
        <v>200</v>
      </c>
      <c r="E48">
        <f>E47-10</f>
        <v>190</v>
      </c>
    </row>
    <row r="49" spans="1:5" x14ac:dyDescent="0.25">
      <c r="A49">
        <v>1000</v>
      </c>
      <c r="B49" t="s">
        <v>157</v>
      </c>
      <c r="C49" t="s">
        <v>168</v>
      </c>
      <c r="D49" t="s">
        <v>200</v>
      </c>
      <c r="E49">
        <f t="shared" ref="E49:E52" si="10">E48-10</f>
        <v>180</v>
      </c>
    </row>
    <row r="50" spans="1:5" x14ac:dyDescent="0.25">
      <c r="A50">
        <v>2000</v>
      </c>
      <c r="B50" t="s">
        <v>158</v>
      </c>
      <c r="C50" t="s">
        <v>168</v>
      </c>
      <c r="D50" t="s">
        <v>200</v>
      </c>
      <c r="E50">
        <f t="shared" si="10"/>
        <v>170</v>
      </c>
    </row>
    <row r="51" spans="1:5" x14ac:dyDescent="0.25">
      <c r="A51">
        <v>3000</v>
      </c>
      <c r="B51" t="s">
        <v>159</v>
      </c>
      <c r="C51" t="s">
        <v>168</v>
      </c>
      <c r="D51" t="s">
        <v>200</v>
      </c>
      <c r="E51">
        <f t="shared" si="10"/>
        <v>160</v>
      </c>
    </row>
    <row r="52" spans="1:5" x14ac:dyDescent="0.25">
      <c r="A52">
        <v>4000</v>
      </c>
      <c r="B52" t="s">
        <v>160</v>
      </c>
      <c r="C52" t="s">
        <v>168</v>
      </c>
      <c r="D52" t="s">
        <v>200</v>
      </c>
      <c r="E52">
        <f t="shared" si="10"/>
        <v>150</v>
      </c>
    </row>
    <row r="53" spans="1:5" x14ac:dyDescent="0.25">
      <c r="A53">
        <v>0</v>
      </c>
      <c r="B53" t="s">
        <v>155</v>
      </c>
      <c r="C53" t="s">
        <v>202</v>
      </c>
      <c r="D53" t="s">
        <v>200</v>
      </c>
      <c r="E53">
        <v>200</v>
      </c>
    </row>
    <row r="54" spans="1:5" x14ac:dyDescent="0.25">
      <c r="A54">
        <v>500</v>
      </c>
      <c r="B54" t="s">
        <v>156</v>
      </c>
      <c r="C54" t="s">
        <v>202</v>
      </c>
      <c r="D54" t="s">
        <v>200</v>
      </c>
      <c r="E54">
        <f>E53-10</f>
        <v>190</v>
      </c>
    </row>
    <row r="55" spans="1:5" x14ac:dyDescent="0.25">
      <c r="A55">
        <v>1000</v>
      </c>
      <c r="B55" t="s">
        <v>157</v>
      </c>
      <c r="C55" t="s">
        <v>202</v>
      </c>
      <c r="D55" t="s">
        <v>200</v>
      </c>
      <c r="E55">
        <f t="shared" ref="E55:E58" si="11">E54-10</f>
        <v>180</v>
      </c>
    </row>
    <row r="56" spans="1:5" x14ac:dyDescent="0.25">
      <c r="A56">
        <v>2000</v>
      </c>
      <c r="B56" t="s">
        <v>158</v>
      </c>
      <c r="C56" t="s">
        <v>202</v>
      </c>
      <c r="D56" t="s">
        <v>200</v>
      </c>
      <c r="E56">
        <f t="shared" si="11"/>
        <v>170</v>
      </c>
    </row>
    <row r="57" spans="1:5" x14ac:dyDescent="0.25">
      <c r="A57">
        <v>3000</v>
      </c>
      <c r="B57" t="s">
        <v>159</v>
      </c>
      <c r="C57" t="s">
        <v>202</v>
      </c>
      <c r="D57" t="s">
        <v>200</v>
      </c>
      <c r="E57">
        <f t="shared" si="11"/>
        <v>160</v>
      </c>
    </row>
    <row r="58" spans="1:5" x14ac:dyDescent="0.25">
      <c r="A58">
        <v>4000</v>
      </c>
      <c r="B58" t="s">
        <v>160</v>
      </c>
      <c r="C58" t="s">
        <v>202</v>
      </c>
      <c r="D58" t="s">
        <v>200</v>
      </c>
      <c r="E58">
        <f t="shared" si="11"/>
        <v>150</v>
      </c>
    </row>
    <row r="59" spans="1:5" x14ac:dyDescent="0.25">
      <c r="A59">
        <v>0</v>
      </c>
      <c r="B59" t="s">
        <v>155</v>
      </c>
      <c r="C59" t="s">
        <v>170</v>
      </c>
      <c r="D59" t="s">
        <v>201</v>
      </c>
      <c r="E59">
        <v>200</v>
      </c>
    </row>
    <row r="60" spans="1:5" x14ac:dyDescent="0.25">
      <c r="A60">
        <v>500</v>
      </c>
      <c r="B60" t="s">
        <v>156</v>
      </c>
      <c r="C60" t="s">
        <v>170</v>
      </c>
      <c r="D60" t="s">
        <v>201</v>
      </c>
      <c r="E60">
        <f>E59-10</f>
        <v>190</v>
      </c>
    </row>
    <row r="61" spans="1:5" x14ac:dyDescent="0.25">
      <c r="A61">
        <v>1000</v>
      </c>
      <c r="B61" t="s">
        <v>157</v>
      </c>
      <c r="C61" t="s">
        <v>170</v>
      </c>
      <c r="D61" t="s">
        <v>201</v>
      </c>
      <c r="E61">
        <f t="shared" ref="E61:E64" si="12">E60-10</f>
        <v>180</v>
      </c>
    </row>
    <row r="62" spans="1:5" x14ac:dyDescent="0.25">
      <c r="A62">
        <v>2000</v>
      </c>
      <c r="B62" t="s">
        <v>158</v>
      </c>
      <c r="C62" t="s">
        <v>170</v>
      </c>
      <c r="D62" t="s">
        <v>201</v>
      </c>
      <c r="E62">
        <f t="shared" si="12"/>
        <v>170</v>
      </c>
    </row>
    <row r="63" spans="1:5" x14ac:dyDescent="0.25">
      <c r="A63">
        <v>3000</v>
      </c>
      <c r="B63" t="s">
        <v>159</v>
      </c>
      <c r="C63" t="s">
        <v>170</v>
      </c>
      <c r="D63" t="s">
        <v>201</v>
      </c>
      <c r="E63">
        <f t="shared" si="12"/>
        <v>160</v>
      </c>
    </row>
    <row r="64" spans="1:5" x14ac:dyDescent="0.25">
      <c r="A64">
        <v>4000</v>
      </c>
      <c r="B64" t="s">
        <v>160</v>
      </c>
      <c r="C64" t="s">
        <v>170</v>
      </c>
      <c r="D64" t="s">
        <v>201</v>
      </c>
      <c r="E64">
        <f t="shared" si="12"/>
        <v>150</v>
      </c>
    </row>
    <row r="65" spans="1:5" x14ac:dyDescent="0.25">
      <c r="A65">
        <v>0</v>
      </c>
      <c r="B65" t="s">
        <v>155</v>
      </c>
      <c r="C65" t="s">
        <v>168</v>
      </c>
      <c r="D65" t="s">
        <v>201</v>
      </c>
      <c r="E65">
        <v>200</v>
      </c>
    </row>
    <row r="66" spans="1:5" x14ac:dyDescent="0.25">
      <c r="A66">
        <v>500</v>
      </c>
      <c r="B66" t="s">
        <v>156</v>
      </c>
      <c r="C66" t="s">
        <v>168</v>
      </c>
      <c r="D66" t="s">
        <v>201</v>
      </c>
      <c r="E66">
        <f>E65-10</f>
        <v>190</v>
      </c>
    </row>
    <row r="67" spans="1:5" x14ac:dyDescent="0.25">
      <c r="A67">
        <v>1000</v>
      </c>
      <c r="B67" t="s">
        <v>157</v>
      </c>
      <c r="C67" t="s">
        <v>168</v>
      </c>
      <c r="D67" t="s">
        <v>201</v>
      </c>
      <c r="E67">
        <f t="shared" ref="E67:E70" si="13">E66-10</f>
        <v>180</v>
      </c>
    </row>
    <row r="68" spans="1:5" x14ac:dyDescent="0.25">
      <c r="A68">
        <v>2000</v>
      </c>
      <c r="B68" t="s">
        <v>158</v>
      </c>
      <c r="C68" t="s">
        <v>168</v>
      </c>
      <c r="D68" t="s">
        <v>201</v>
      </c>
      <c r="E68">
        <f t="shared" si="13"/>
        <v>170</v>
      </c>
    </row>
    <row r="69" spans="1:5" x14ac:dyDescent="0.25">
      <c r="A69">
        <v>3000</v>
      </c>
      <c r="B69" t="s">
        <v>159</v>
      </c>
      <c r="C69" t="s">
        <v>168</v>
      </c>
      <c r="D69" t="s">
        <v>201</v>
      </c>
      <c r="E69">
        <f t="shared" si="13"/>
        <v>160</v>
      </c>
    </row>
    <row r="70" spans="1:5" x14ac:dyDescent="0.25">
      <c r="A70">
        <v>4000</v>
      </c>
      <c r="B70" t="s">
        <v>160</v>
      </c>
      <c r="C70" t="s">
        <v>168</v>
      </c>
      <c r="D70" t="s">
        <v>201</v>
      </c>
      <c r="E70">
        <f t="shared" si="13"/>
        <v>150</v>
      </c>
    </row>
    <row r="71" spans="1:5" x14ac:dyDescent="0.25">
      <c r="A71">
        <v>0</v>
      </c>
      <c r="B71" t="s">
        <v>155</v>
      </c>
      <c r="C71" t="s">
        <v>202</v>
      </c>
      <c r="D71" t="s">
        <v>201</v>
      </c>
      <c r="E71">
        <v>200</v>
      </c>
    </row>
    <row r="72" spans="1:5" x14ac:dyDescent="0.25">
      <c r="A72">
        <v>500</v>
      </c>
      <c r="B72" t="s">
        <v>156</v>
      </c>
      <c r="C72" t="s">
        <v>202</v>
      </c>
      <c r="D72" t="s">
        <v>201</v>
      </c>
      <c r="E72">
        <f>E71-10</f>
        <v>190</v>
      </c>
    </row>
    <row r="73" spans="1:5" x14ac:dyDescent="0.25">
      <c r="A73">
        <v>1000</v>
      </c>
      <c r="B73" t="s">
        <v>157</v>
      </c>
      <c r="C73" t="s">
        <v>202</v>
      </c>
      <c r="D73" t="s">
        <v>201</v>
      </c>
      <c r="E73">
        <f t="shared" ref="E73:E76" si="14">E72-10</f>
        <v>180</v>
      </c>
    </row>
    <row r="74" spans="1:5" x14ac:dyDescent="0.25">
      <c r="A74">
        <v>2000</v>
      </c>
      <c r="B74" t="s">
        <v>158</v>
      </c>
      <c r="C74" t="s">
        <v>202</v>
      </c>
      <c r="D74" t="s">
        <v>201</v>
      </c>
      <c r="E74">
        <f t="shared" si="14"/>
        <v>170</v>
      </c>
    </row>
    <row r="75" spans="1:5" x14ac:dyDescent="0.25">
      <c r="A75">
        <v>3000</v>
      </c>
      <c r="B75" t="s">
        <v>159</v>
      </c>
      <c r="C75" t="s">
        <v>202</v>
      </c>
      <c r="D75" t="s">
        <v>201</v>
      </c>
      <c r="E75">
        <f t="shared" si="14"/>
        <v>160</v>
      </c>
    </row>
    <row r="76" spans="1:5" x14ac:dyDescent="0.25">
      <c r="A76">
        <v>4000</v>
      </c>
      <c r="B76" t="s">
        <v>160</v>
      </c>
      <c r="C76" t="s">
        <v>202</v>
      </c>
      <c r="D76" t="s">
        <v>201</v>
      </c>
      <c r="E76">
        <f t="shared" si="14"/>
        <v>150</v>
      </c>
    </row>
  </sheetData>
  <mergeCells count="1">
    <mergeCell ref="I1:M3"/>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8FF28-C100-469F-B564-386156B4F814}">
  <sheetPr codeName="Sheet26"/>
  <dimension ref="B1:J19"/>
  <sheetViews>
    <sheetView workbookViewId="0">
      <selection activeCell="M28" sqref="M28"/>
    </sheetView>
  </sheetViews>
  <sheetFormatPr defaultRowHeight="15" x14ac:dyDescent="0.25"/>
  <cols>
    <col min="4" max="4" width="36.42578125" bestFit="1" customWidth="1"/>
    <col min="5" max="5" width="34.42578125" bestFit="1" customWidth="1"/>
    <col min="6" max="6" width="9.140625" customWidth="1"/>
    <col min="8" max="8" width="10.42578125" bestFit="1" customWidth="1"/>
  </cols>
  <sheetData>
    <row r="1" spans="2:10" x14ac:dyDescent="0.25">
      <c r="B1" t="s">
        <v>228</v>
      </c>
      <c r="C1" t="s">
        <v>229</v>
      </c>
      <c r="D1" t="s">
        <v>235</v>
      </c>
      <c r="E1" t="s">
        <v>236</v>
      </c>
      <c r="H1" s="10">
        <v>44254</v>
      </c>
      <c r="I1">
        <f>MONTH(H1)</f>
        <v>2</v>
      </c>
      <c r="J1" t="str">
        <f>TEXT(H1,"MMMM")</f>
        <v>February</v>
      </c>
    </row>
    <row r="2" spans="2:10" x14ac:dyDescent="0.25">
      <c r="B2" t="s">
        <v>46</v>
      </c>
      <c r="C2">
        <v>506</v>
      </c>
      <c r="D2">
        <f>SUMIF($B$2:$B$19,B2,$C$2:$C$19)</f>
        <v>1546</v>
      </c>
      <c r="E2">
        <f t="shared" ref="E2:E19" si="0">SUMIF($C$2:$C$19,F2)</f>
        <v>7120</v>
      </c>
      <c r="F2" t="s">
        <v>230</v>
      </c>
      <c r="H2" s="10">
        <v>44264</v>
      </c>
      <c r="I2">
        <f t="shared" ref="I2:I10" si="1">MONTH(H2)</f>
        <v>3</v>
      </c>
      <c r="J2" t="str">
        <f>TEXT(H2,"MMMM")</f>
        <v>March</v>
      </c>
    </row>
    <row r="3" spans="2:10" x14ac:dyDescent="0.25">
      <c r="B3" t="s">
        <v>47</v>
      </c>
      <c r="C3">
        <v>392</v>
      </c>
      <c r="D3">
        <f>SUMIF($B$2:$B$19,B3,$C$2:$C$19)</f>
        <v>1285</v>
      </c>
      <c r="E3">
        <f t="shared" si="0"/>
        <v>2559</v>
      </c>
      <c r="F3" t="s">
        <v>231</v>
      </c>
      <c r="H3" s="10">
        <v>43993</v>
      </c>
      <c r="I3">
        <f t="shared" si="1"/>
        <v>6</v>
      </c>
      <c r="J3" t="str">
        <f>TEXT(H3,"MMMM")</f>
        <v>June</v>
      </c>
    </row>
    <row r="4" spans="2:10" x14ac:dyDescent="0.25">
      <c r="B4" t="s">
        <v>48</v>
      </c>
      <c r="C4">
        <v>729</v>
      </c>
      <c r="D4">
        <f>SUMIF($B$2:$B$19,B4,$C$2:$C$19)</f>
        <v>1953</v>
      </c>
      <c r="E4">
        <f t="shared" si="0"/>
        <v>7620</v>
      </c>
      <c r="F4" t="s">
        <v>232</v>
      </c>
      <c r="H4" s="10">
        <v>44518</v>
      </c>
      <c r="I4">
        <f t="shared" si="1"/>
        <v>11</v>
      </c>
      <c r="J4" t="str">
        <f t="shared" ref="J4:J10" si="2">TEXT(H4,"MMMM")</f>
        <v>November</v>
      </c>
    </row>
    <row r="5" spans="2:10" x14ac:dyDescent="0.25">
      <c r="B5" t="s">
        <v>49</v>
      </c>
      <c r="C5">
        <v>500</v>
      </c>
      <c r="D5">
        <f t="shared" ref="D5:D19" si="3">SUMIF($B$2:$B$19,B5,$C$2:$C$19)</f>
        <v>1270</v>
      </c>
      <c r="E5">
        <f t="shared" si="0"/>
        <v>3059</v>
      </c>
      <c r="F5" t="s">
        <v>233</v>
      </c>
      <c r="H5" s="10">
        <v>44143</v>
      </c>
      <c r="I5">
        <f t="shared" si="1"/>
        <v>11</v>
      </c>
      <c r="J5" t="str">
        <f t="shared" si="2"/>
        <v>November</v>
      </c>
    </row>
    <row r="6" spans="2:10" x14ac:dyDescent="0.25">
      <c r="B6" t="s">
        <v>50</v>
      </c>
      <c r="C6">
        <v>806</v>
      </c>
      <c r="D6">
        <f t="shared" si="3"/>
        <v>2372</v>
      </c>
      <c r="E6">
        <f t="shared" si="0"/>
        <v>9679</v>
      </c>
      <c r="F6" t="s">
        <v>234</v>
      </c>
      <c r="H6" s="10">
        <v>44336</v>
      </c>
      <c r="I6">
        <f>MONTH(H6)</f>
        <v>5</v>
      </c>
      <c r="J6" t="str">
        <f t="shared" si="2"/>
        <v>May</v>
      </c>
    </row>
    <row r="7" spans="2:10" x14ac:dyDescent="0.25">
      <c r="B7" t="s">
        <v>51</v>
      </c>
      <c r="C7">
        <v>412</v>
      </c>
      <c r="D7">
        <f t="shared" si="3"/>
        <v>1753</v>
      </c>
      <c r="E7">
        <f t="shared" si="0"/>
        <v>7120</v>
      </c>
      <c r="F7" t="s">
        <v>230</v>
      </c>
      <c r="H7" s="10">
        <v>43930</v>
      </c>
      <c r="I7">
        <f t="shared" si="1"/>
        <v>4</v>
      </c>
      <c r="J7" t="str">
        <f t="shared" si="2"/>
        <v>April</v>
      </c>
    </row>
    <row r="8" spans="2:10" x14ac:dyDescent="0.25">
      <c r="B8" t="s">
        <v>46</v>
      </c>
      <c r="C8">
        <v>799</v>
      </c>
      <c r="D8">
        <f t="shared" si="3"/>
        <v>1546</v>
      </c>
      <c r="E8">
        <f t="shared" si="0"/>
        <v>2559</v>
      </c>
      <c r="F8" t="s">
        <v>231</v>
      </c>
      <c r="H8" s="10">
        <v>43953</v>
      </c>
      <c r="I8">
        <f t="shared" si="1"/>
        <v>5</v>
      </c>
      <c r="J8" t="str">
        <f t="shared" si="2"/>
        <v>May</v>
      </c>
    </row>
    <row r="9" spans="2:10" x14ac:dyDescent="0.25">
      <c r="B9" t="s">
        <v>47</v>
      </c>
      <c r="C9">
        <v>327</v>
      </c>
      <c r="D9">
        <f t="shared" si="3"/>
        <v>1285</v>
      </c>
      <c r="E9">
        <f t="shared" si="0"/>
        <v>7620</v>
      </c>
      <c r="F9" t="s">
        <v>232</v>
      </c>
      <c r="H9" s="10">
        <v>43947</v>
      </c>
      <c r="I9">
        <f t="shared" si="1"/>
        <v>4</v>
      </c>
      <c r="J9" t="str">
        <f t="shared" si="2"/>
        <v>April</v>
      </c>
    </row>
    <row r="10" spans="2:10" x14ac:dyDescent="0.25">
      <c r="B10" t="s">
        <v>48</v>
      </c>
      <c r="C10">
        <v>417</v>
      </c>
      <c r="D10">
        <f t="shared" si="3"/>
        <v>1953</v>
      </c>
      <c r="E10">
        <f t="shared" si="0"/>
        <v>3059</v>
      </c>
      <c r="F10" t="s">
        <v>233</v>
      </c>
      <c r="H10" s="10">
        <v>44118</v>
      </c>
      <c r="I10">
        <f t="shared" si="1"/>
        <v>10</v>
      </c>
      <c r="J10" t="str">
        <f t="shared" si="2"/>
        <v>October</v>
      </c>
    </row>
    <row r="11" spans="2:10" x14ac:dyDescent="0.25">
      <c r="B11" t="s">
        <v>49</v>
      </c>
      <c r="C11">
        <v>364</v>
      </c>
      <c r="D11">
        <f t="shared" si="3"/>
        <v>1270</v>
      </c>
      <c r="E11">
        <f t="shared" si="0"/>
        <v>9679</v>
      </c>
      <c r="F11" t="s">
        <v>234</v>
      </c>
    </row>
    <row r="12" spans="2:10" x14ac:dyDescent="0.25">
      <c r="B12" t="s">
        <v>50</v>
      </c>
      <c r="C12">
        <v>750</v>
      </c>
      <c r="D12">
        <f t="shared" si="3"/>
        <v>2372</v>
      </c>
      <c r="E12">
        <f t="shared" si="0"/>
        <v>7120</v>
      </c>
      <c r="F12" t="s">
        <v>230</v>
      </c>
    </row>
    <row r="13" spans="2:10" x14ac:dyDescent="0.25">
      <c r="B13" t="s">
        <v>51</v>
      </c>
      <c r="C13">
        <v>767</v>
      </c>
      <c r="D13">
        <f>SUMIF($B$2:$B$19,B13,$C$2:$C$19)</f>
        <v>1753</v>
      </c>
      <c r="E13">
        <f t="shared" si="0"/>
        <v>2559</v>
      </c>
      <c r="F13" t="s">
        <v>231</v>
      </c>
    </row>
    <row r="14" spans="2:10" x14ac:dyDescent="0.25">
      <c r="B14" t="s">
        <v>46</v>
      </c>
      <c r="C14">
        <v>241</v>
      </c>
      <c r="D14">
        <f t="shared" si="3"/>
        <v>1546</v>
      </c>
      <c r="E14">
        <f t="shared" si="0"/>
        <v>7620</v>
      </c>
      <c r="F14" t="s">
        <v>232</v>
      </c>
    </row>
    <row r="15" spans="2:10" x14ac:dyDescent="0.25">
      <c r="B15" t="s">
        <v>47</v>
      </c>
      <c r="C15">
        <v>566</v>
      </c>
      <c r="D15">
        <f t="shared" si="3"/>
        <v>1285</v>
      </c>
      <c r="E15">
        <f t="shared" si="0"/>
        <v>3059</v>
      </c>
      <c r="F15" t="s">
        <v>233</v>
      </c>
    </row>
    <row r="16" spans="2:10" x14ac:dyDescent="0.25">
      <c r="B16" t="s">
        <v>48</v>
      </c>
      <c r="C16">
        <v>807</v>
      </c>
      <c r="D16">
        <f t="shared" si="3"/>
        <v>1953</v>
      </c>
      <c r="E16">
        <f t="shared" si="0"/>
        <v>9679</v>
      </c>
      <c r="F16" t="s">
        <v>234</v>
      </c>
    </row>
    <row r="17" spans="2:6" x14ac:dyDescent="0.25">
      <c r="B17" t="s">
        <v>49</v>
      </c>
      <c r="C17">
        <v>406</v>
      </c>
      <c r="D17">
        <f t="shared" si="3"/>
        <v>1270</v>
      </c>
      <c r="E17">
        <f t="shared" si="0"/>
        <v>7120</v>
      </c>
      <c r="F17" t="s">
        <v>230</v>
      </c>
    </row>
    <row r="18" spans="2:6" x14ac:dyDescent="0.25">
      <c r="B18" t="s">
        <v>50</v>
      </c>
      <c r="C18">
        <v>816</v>
      </c>
      <c r="D18">
        <f t="shared" si="3"/>
        <v>2372</v>
      </c>
      <c r="E18">
        <f>SUMIF($C$2:$C$19,F18)</f>
        <v>2559</v>
      </c>
      <c r="F18" t="s">
        <v>231</v>
      </c>
    </row>
    <row r="19" spans="2:6" x14ac:dyDescent="0.25">
      <c r="B19" t="s">
        <v>51</v>
      </c>
      <c r="C19">
        <v>574</v>
      </c>
      <c r="D19">
        <f t="shared" si="3"/>
        <v>1753</v>
      </c>
      <c r="E19">
        <f t="shared" si="0"/>
        <v>7620</v>
      </c>
      <c r="F19" t="s">
        <v>232</v>
      </c>
    </row>
  </sheetData>
  <conditionalFormatting sqref="B2:B19">
    <cfRule type="uniqueValues" dxfId="15" priority="2"/>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7F53F-7E05-49DC-9D8E-EC5DC1E98D04}">
  <sheetPr codeName="Sheet27"/>
  <dimension ref="B1:Z24"/>
  <sheetViews>
    <sheetView zoomScale="85" zoomScaleNormal="85" workbookViewId="0">
      <selection activeCell="M28" sqref="M28"/>
    </sheetView>
  </sheetViews>
  <sheetFormatPr defaultRowHeight="15" x14ac:dyDescent="0.25"/>
  <cols>
    <col min="2" max="2" width="11" bestFit="1" customWidth="1"/>
    <col min="3" max="3" width="4.140625" bestFit="1" customWidth="1"/>
    <col min="4" max="4" width="4.5703125" bestFit="1" customWidth="1"/>
    <col min="5" max="5" width="4.7109375" bestFit="1" customWidth="1"/>
    <col min="6" max="6" width="4.140625" bestFit="1" customWidth="1"/>
    <col min="7" max="7" width="4.85546875" bestFit="1" customWidth="1"/>
    <col min="8" max="9" width="4.140625" bestFit="1" customWidth="1"/>
    <col min="10" max="12" width="4.5703125" bestFit="1" customWidth="1"/>
    <col min="13" max="13" width="5.140625" bestFit="1" customWidth="1"/>
    <col min="14" max="14" width="4.5703125" bestFit="1" customWidth="1"/>
    <col min="15" max="15" width="7.85546875" bestFit="1" customWidth="1"/>
    <col min="16" max="16" width="5.140625" bestFit="1" customWidth="1"/>
    <col min="17" max="17" width="10.5703125" bestFit="1" customWidth="1"/>
    <col min="18" max="18" width="4.140625" bestFit="1" customWidth="1"/>
    <col min="19" max="19" width="7.85546875" bestFit="1" customWidth="1"/>
    <col min="20" max="20" width="4.140625" bestFit="1" customWidth="1"/>
    <col min="22" max="22" width="5.140625" bestFit="1" customWidth="1"/>
  </cols>
  <sheetData>
    <row r="1" spans="2:26" ht="15" customHeight="1" x14ac:dyDescent="0.25">
      <c r="Q1" s="51" t="s">
        <v>247</v>
      </c>
      <c r="R1" s="51"/>
      <c r="S1" s="51"/>
      <c r="T1" s="51"/>
      <c r="U1" s="51"/>
      <c r="V1" s="51"/>
    </row>
    <row r="2" spans="2:26" ht="15" customHeight="1" x14ac:dyDescent="0.25">
      <c r="Q2" s="51"/>
      <c r="R2" s="51"/>
      <c r="S2" s="51"/>
      <c r="T2" s="51"/>
      <c r="U2" s="51"/>
      <c r="V2" s="51"/>
    </row>
    <row r="3" spans="2:26" ht="15" customHeight="1" x14ac:dyDescent="0.25">
      <c r="Q3" s="51"/>
      <c r="R3" s="51"/>
      <c r="S3" s="51"/>
      <c r="T3" s="51"/>
      <c r="U3" s="51"/>
      <c r="V3" s="51"/>
    </row>
    <row r="4" spans="2:26" x14ac:dyDescent="0.25">
      <c r="B4" t="s">
        <v>0</v>
      </c>
      <c r="C4" t="s">
        <v>251</v>
      </c>
      <c r="D4" t="s">
        <v>209</v>
      </c>
      <c r="E4" t="s">
        <v>252</v>
      </c>
      <c r="F4" t="s">
        <v>253</v>
      </c>
      <c r="G4" t="s">
        <v>254</v>
      </c>
      <c r="H4" t="s">
        <v>255</v>
      </c>
      <c r="I4" t="s">
        <v>249</v>
      </c>
      <c r="J4" t="s">
        <v>248</v>
      </c>
      <c r="K4" t="s">
        <v>256</v>
      </c>
      <c r="L4" t="s">
        <v>237</v>
      </c>
      <c r="M4" t="s">
        <v>238</v>
      </c>
      <c r="N4" t="s">
        <v>250</v>
      </c>
    </row>
    <row r="5" spans="2:26" x14ac:dyDescent="0.25">
      <c r="B5" t="s">
        <v>239</v>
      </c>
      <c r="C5">
        <v>474</v>
      </c>
      <c r="D5">
        <v>611</v>
      </c>
      <c r="E5">
        <v>971</v>
      </c>
      <c r="F5">
        <v>431</v>
      </c>
      <c r="G5">
        <v>814</v>
      </c>
      <c r="H5">
        <v>719</v>
      </c>
      <c r="I5">
        <v>988</v>
      </c>
      <c r="J5">
        <v>294</v>
      </c>
      <c r="K5">
        <v>954</v>
      </c>
      <c r="L5">
        <v>661</v>
      </c>
      <c r="M5">
        <v>213</v>
      </c>
      <c r="N5">
        <v>496</v>
      </c>
    </row>
    <row r="6" spans="2:26" x14ac:dyDescent="0.25">
      <c r="B6" t="s">
        <v>187</v>
      </c>
      <c r="C6">
        <v>754</v>
      </c>
      <c r="D6">
        <v>377</v>
      </c>
      <c r="E6">
        <v>125</v>
      </c>
      <c r="F6">
        <v>473</v>
      </c>
      <c r="G6">
        <v>466</v>
      </c>
      <c r="H6">
        <v>235</v>
      </c>
      <c r="I6">
        <v>736</v>
      </c>
      <c r="J6">
        <v>694</v>
      </c>
      <c r="K6">
        <v>578</v>
      </c>
      <c r="L6">
        <v>191</v>
      </c>
      <c r="M6">
        <v>309</v>
      </c>
      <c r="N6">
        <v>647</v>
      </c>
      <c r="O6" t="s">
        <v>48</v>
      </c>
    </row>
    <row r="7" spans="2:26" x14ac:dyDescent="0.25">
      <c r="B7" t="s">
        <v>64</v>
      </c>
      <c r="C7">
        <v>626</v>
      </c>
      <c r="D7">
        <v>111</v>
      </c>
      <c r="E7">
        <v>671</v>
      </c>
      <c r="F7">
        <v>173</v>
      </c>
      <c r="G7">
        <v>520</v>
      </c>
      <c r="H7">
        <v>344</v>
      </c>
      <c r="I7">
        <v>474</v>
      </c>
      <c r="J7">
        <v>266</v>
      </c>
      <c r="K7">
        <v>731</v>
      </c>
      <c r="L7">
        <v>910</v>
      </c>
      <c r="M7">
        <v>798</v>
      </c>
      <c r="N7">
        <v>726</v>
      </c>
      <c r="O7" t="s">
        <v>209</v>
      </c>
      <c r="P7">
        <f ca="1">SUM(OFFSET(B4,MATCH(O6,B5:B22,0),MATCH(O7,C4:K4,0),3,3))</f>
        <v>5149</v>
      </c>
    </row>
    <row r="8" spans="2:26" x14ac:dyDescent="0.25">
      <c r="B8" t="s">
        <v>47</v>
      </c>
      <c r="C8">
        <v>174</v>
      </c>
      <c r="D8">
        <v>245</v>
      </c>
      <c r="E8">
        <v>313</v>
      </c>
      <c r="F8">
        <v>937</v>
      </c>
      <c r="G8">
        <v>811</v>
      </c>
      <c r="H8">
        <v>244</v>
      </c>
      <c r="I8">
        <v>165</v>
      </c>
      <c r="J8">
        <v>763</v>
      </c>
      <c r="K8">
        <v>482</v>
      </c>
      <c r="L8">
        <v>137</v>
      </c>
      <c r="M8">
        <v>982</v>
      </c>
      <c r="N8">
        <v>950</v>
      </c>
      <c r="Z8" s="3"/>
    </row>
    <row r="9" spans="2:26" x14ac:dyDescent="0.25">
      <c r="B9" t="s">
        <v>48</v>
      </c>
      <c r="C9">
        <v>225</v>
      </c>
      <c r="D9">
        <v>587</v>
      </c>
      <c r="E9">
        <v>586</v>
      </c>
      <c r="F9">
        <v>600</v>
      </c>
      <c r="G9">
        <v>573</v>
      </c>
      <c r="H9">
        <v>982</v>
      </c>
      <c r="I9">
        <v>205</v>
      </c>
      <c r="J9">
        <v>489</v>
      </c>
      <c r="K9">
        <v>367</v>
      </c>
      <c r="L9">
        <v>152</v>
      </c>
      <c r="M9">
        <v>516</v>
      </c>
      <c r="N9">
        <v>972</v>
      </c>
      <c r="S9" t="s">
        <v>238</v>
      </c>
      <c r="T9">
        <f ca="1">OFFSET(B4,COUNTA(B:B)-1,MATCH(S9,C4:M4,0))</f>
        <v>911</v>
      </c>
      <c r="Z9" s="11"/>
    </row>
    <row r="10" spans="2:26" x14ac:dyDescent="0.25">
      <c r="B10" t="s">
        <v>46</v>
      </c>
      <c r="C10">
        <v>207</v>
      </c>
      <c r="D10">
        <v>576</v>
      </c>
      <c r="E10">
        <v>415</v>
      </c>
      <c r="F10">
        <v>853</v>
      </c>
      <c r="G10">
        <v>908</v>
      </c>
      <c r="H10">
        <v>803</v>
      </c>
      <c r="I10">
        <v>101</v>
      </c>
      <c r="J10">
        <v>961</v>
      </c>
      <c r="K10">
        <v>246</v>
      </c>
      <c r="L10">
        <v>908</v>
      </c>
      <c r="M10">
        <v>858</v>
      </c>
      <c r="N10">
        <v>699</v>
      </c>
      <c r="O10" t="s">
        <v>206</v>
      </c>
      <c r="P10">
        <f ca="1">OFFSET(B4,MATCH(O11,B5:B22,0),MATCH(O10,C4:K4,0))</f>
        <v>174</v>
      </c>
    </row>
    <row r="11" spans="2:26" x14ac:dyDescent="0.25">
      <c r="B11" t="s">
        <v>66</v>
      </c>
      <c r="C11">
        <v>440</v>
      </c>
      <c r="D11">
        <v>711</v>
      </c>
      <c r="E11">
        <v>315</v>
      </c>
      <c r="F11">
        <v>506</v>
      </c>
      <c r="G11">
        <v>101</v>
      </c>
      <c r="H11">
        <v>896</v>
      </c>
      <c r="I11">
        <v>319</v>
      </c>
      <c r="J11">
        <v>141</v>
      </c>
      <c r="K11">
        <v>334</v>
      </c>
      <c r="L11">
        <v>854</v>
      </c>
      <c r="M11">
        <v>212</v>
      </c>
      <c r="N11">
        <v>346</v>
      </c>
      <c r="O11" t="s">
        <v>47</v>
      </c>
      <c r="S11" t="s">
        <v>48</v>
      </c>
      <c r="T11">
        <f ca="1">OFFSET(B4,MATCH(S11,B5:B22,0),COUNTA(4:4)-1)</f>
        <v>972</v>
      </c>
    </row>
    <row r="12" spans="2:26" x14ac:dyDescent="0.25">
      <c r="B12" t="s">
        <v>2</v>
      </c>
      <c r="C12">
        <v>496</v>
      </c>
      <c r="D12">
        <v>160</v>
      </c>
      <c r="E12">
        <v>978</v>
      </c>
      <c r="F12">
        <v>406</v>
      </c>
      <c r="G12">
        <v>222</v>
      </c>
      <c r="H12">
        <v>277</v>
      </c>
      <c r="I12">
        <v>676</v>
      </c>
      <c r="J12">
        <v>958</v>
      </c>
      <c r="K12">
        <v>782</v>
      </c>
      <c r="L12">
        <v>592</v>
      </c>
      <c r="M12">
        <v>523</v>
      </c>
      <c r="N12">
        <v>784</v>
      </c>
      <c r="W12" t="s">
        <v>187</v>
      </c>
      <c r="X12">
        <f ca="1">OFFSET(B4,MATCH(W12,B5:B23,0),MATCH(W13,C4:N4,0))</f>
        <v>647</v>
      </c>
    </row>
    <row r="13" spans="2:26" x14ac:dyDescent="0.25">
      <c r="B13" t="s">
        <v>240</v>
      </c>
      <c r="C13">
        <v>730</v>
      </c>
      <c r="D13">
        <v>472</v>
      </c>
      <c r="E13">
        <v>110</v>
      </c>
      <c r="F13">
        <v>581</v>
      </c>
      <c r="G13">
        <v>165</v>
      </c>
      <c r="H13">
        <v>336</v>
      </c>
      <c r="I13">
        <v>271</v>
      </c>
      <c r="J13">
        <v>408</v>
      </c>
      <c r="K13">
        <v>651</v>
      </c>
      <c r="L13">
        <v>342</v>
      </c>
      <c r="M13">
        <v>595</v>
      </c>
      <c r="N13">
        <v>695</v>
      </c>
      <c r="T13">
        <f ca="1">OFFSET(B4,COUNTA(B:B)-1,COUNTA(4:4)-1)</f>
        <v>882</v>
      </c>
      <c r="W13" t="s">
        <v>250</v>
      </c>
    </row>
    <row r="14" spans="2:26" x14ac:dyDescent="0.25">
      <c r="B14" t="s">
        <v>241</v>
      </c>
      <c r="C14">
        <v>185</v>
      </c>
      <c r="D14">
        <v>273</v>
      </c>
      <c r="E14">
        <v>748</v>
      </c>
      <c r="F14">
        <v>107</v>
      </c>
      <c r="G14">
        <v>246</v>
      </c>
      <c r="H14">
        <v>624</v>
      </c>
      <c r="I14">
        <v>283</v>
      </c>
      <c r="J14">
        <v>458</v>
      </c>
      <c r="K14">
        <v>368</v>
      </c>
      <c r="L14">
        <v>844</v>
      </c>
      <c r="M14">
        <v>285</v>
      </c>
      <c r="N14">
        <v>458</v>
      </c>
    </row>
    <row r="15" spans="2:26" x14ac:dyDescent="0.25">
      <c r="B15" t="s">
        <v>242</v>
      </c>
      <c r="C15">
        <v>257</v>
      </c>
      <c r="D15">
        <v>702</v>
      </c>
      <c r="E15">
        <v>519</v>
      </c>
      <c r="F15">
        <v>354</v>
      </c>
      <c r="G15">
        <v>276</v>
      </c>
      <c r="H15">
        <v>235</v>
      </c>
      <c r="I15">
        <v>722</v>
      </c>
      <c r="J15">
        <v>472</v>
      </c>
      <c r="K15">
        <v>109</v>
      </c>
      <c r="L15">
        <v>861</v>
      </c>
      <c r="M15">
        <v>587</v>
      </c>
      <c r="N15">
        <v>791</v>
      </c>
      <c r="O15" t="s">
        <v>46</v>
      </c>
      <c r="P15">
        <f ca="1">OFFSET(B4,MATCH(O15,B5:B22,0),2)</f>
        <v>576</v>
      </c>
    </row>
    <row r="16" spans="2:26" x14ac:dyDescent="0.25">
      <c r="B16" t="s">
        <v>243</v>
      </c>
      <c r="C16">
        <v>268</v>
      </c>
      <c r="D16">
        <v>174</v>
      </c>
      <c r="E16">
        <v>131</v>
      </c>
      <c r="F16">
        <v>425</v>
      </c>
      <c r="G16">
        <v>139</v>
      </c>
      <c r="H16">
        <v>206</v>
      </c>
      <c r="I16">
        <v>433</v>
      </c>
      <c r="J16">
        <v>125</v>
      </c>
      <c r="K16">
        <v>853</v>
      </c>
      <c r="L16">
        <v>692</v>
      </c>
      <c r="M16">
        <v>791</v>
      </c>
      <c r="N16">
        <v>325</v>
      </c>
      <c r="R16" s="10"/>
    </row>
    <row r="17" spans="2:24" x14ac:dyDescent="0.25">
      <c r="B17" t="s">
        <v>244</v>
      </c>
      <c r="C17">
        <v>305</v>
      </c>
      <c r="D17">
        <v>382</v>
      </c>
      <c r="E17">
        <v>786</v>
      </c>
      <c r="F17">
        <v>191</v>
      </c>
      <c r="G17">
        <v>343</v>
      </c>
      <c r="H17">
        <v>484</v>
      </c>
      <c r="I17">
        <v>750</v>
      </c>
      <c r="J17">
        <v>503</v>
      </c>
      <c r="K17">
        <v>273</v>
      </c>
      <c r="L17">
        <v>968</v>
      </c>
      <c r="M17">
        <v>453</v>
      </c>
      <c r="N17">
        <v>302</v>
      </c>
      <c r="V17">
        <f ca="1">SUM(OFFSET(B4,3,COUNTA(4:4)-1,4))</f>
        <v>3347</v>
      </c>
    </row>
    <row r="18" spans="2:24" x14ac:dyDescent="0.25">
      <c r="B18" t="s">
        <v>177</v>
      </c>
      <c r="C18">
        <v>834</v>
      </c>
      <c r="D18">
        <v>292</v>
      </c>
      <c r="E18">
        <v>954</v>
      </c>
      <c r="F18">
        <v>461</v>
      </c>
      <c r="G18">
        <v>750</v>
      </c>
      <c r="H18">
        <v>399</v>
      </c>
      <c r="I18">
        <v>932</v>
      </c>
      <c r="J18">
        <v>751</v>
      </c>
      <c r="K18">
        <v>310</v>
      </c>
      <c r="L18">
        <v>122</v>
      </c>
      <c r="M18">
        <v>418</v>
      </c>
      <c r="N18">
        <v>265</v>
      </c>
      <c r="Q18" t="s">
        <v>246</v>
      </c>
      <c r="R18">
        <f ca="1">OFFSET(B4,MATCH(Q18,B:B,0)-4,MATCH(Q19,C4:M4,0))</f>
        <v>220</v>
      </c>
      <c r="W18" t="s">
        <v>64</v>
      </c>
      <c r="X18">
        <f ca="1">OFFSET(B4,MATCH(W18,B5:B23,0),MATCH(W19,C4:M4,0))</f>
        <v>266</v>
      </c>
    </row>
    <row r="19" spans="2:24" x14ac:dyDescent="0.25">
      <c r="B19" t="s">
        <v>174</v>
      </c>
      <c r="C19">
        <v>977</v>
      </c>
      <c r="D19">
        <v>471</v>
      </c>
      <c r="E19">
        <v>614</v>
      </c>
      <c r="F19">
        <v>941</v>
      </c>
      <c r="G19">
        <v>396</v>
      </c>
      <c r="H19">
        <v>817</v>
      </c>
      <c r="I19">
        <v>255</v>
      </c>
      <c r="J19">
        <v>490</v>
      </c>
      <c r="K19">
        <v>452</v>
      </c>
      <c r="L19">
        <v>645</v>
      </c>
      <c r="M19">
        <v>305</v>
      </c>
      <c r="N19">
        <v>432</v>
      </c>
      <c r="Q19" t="s">
        <v>237</v>
      </c>
      <c r="W19" t="s">
        <v>248</v>
      </c>
    </row>
    <row r="20" spans="2:24" x14ac:dyDescent="0.25">
      <c r="B20" t="s">
        <v>257</v>
      </c>
      <c r="C20">
        <v>783</v>
      </c>
      <c r="D20">
        <v>748</v>
      </c>
      <c r="E20">
        <v>777</v>
      </c>
      <c r="F20">
        <v>327</v>
      </c>
      <c r="G20">
        <v>505</v>
      </c>
      <c r="H20">
        <v>397</v>
      </c>
      <c r="I20">
        <v>362</v>
      </c>
      <c r="J20">
        <v>722</v>
      </c>
      <c r="K20">
        <v>849</v>
      </c>
      <c r="L20">
        <v>965</v>
      </c>
      <c r="M20">
        <v>354</v>
      </c>
      <c r="N20">
        <v>689</v>
      </c>
      <c r="Q20" t="s">
        <v>238</v>
      </c>
      <c r="R20">
        <f ca="1">OFFSET(B4,MATCH(Q21,B5:B22,0),MATCH(Q20,4:4,0)-2)</f>
        <v>858</v>
      </c>
    </row>
    <row r="21" spans="2:24" x14ac:dyDescent="0.25">
      <c r="B21" t="s">
        <v>213</v>
      </c>
      <c r="C21">
        <v>429</v>
      </c>
      <c r="D21">
        <v>277</v>
      </c>
      <c r="E21">
        <v>959</v>
      </c>
      <c r="F21">
        <v>670</v>
      </c>
      <c r="G21">
        <v>662</v>
      </c>
      <c r="H21">
        <v>512</v>
      </c>
      <c r="I21">
        <v>488</v>
      </c>
      <c r="J21">
        <v>102</v>
      </c>
      <c r="K21">
        <v>953</v>
      </c>
      <c r="L21">
        <v>488</v>
      </c>
      <c r="M21">
        <v>846</v>
      </c>
      <c r="N21">
        <v>692</v>
      </c>
      <c r="Q21" t="s">
        <v>46</v>
      </c>
    </row>
    <row r="22" spans="2:24" x14ac:dyDescent="0.25">
      <c r="B22" t="s">
        <v>245</v>
      </c>
      <c r="C22">
        <v>719</v>
      </c>
      <c r="D22">
        <v>404</v>
      </c>
      <c r="E22">
        <v>535</v>
      </c>
      <c r="F22">
        <v>578</v>
      </c>
      <c r="G22">
        <v>983</v>
      </c>
      <c r="H22">
        <v>701</v>
      </c>
      <c r="I22">
        <v>277</v>
      </c>
      <c r="J22">
        <v>887</v>
      </c>
      <c r="K22">
        <v>632</v>
      </c>
      <c r="L22">
        <v>170</v>
      </c>
      <c r="M22">
        <v>724</v>
      </c>
      <c r="N22">
        <v>710</v>
      </c>
    </row>
    <row r="23" spans="2:24" x14ac:dyDescent="0.25">
      <c r="B23" t="s">
        <v>246</v>
      </c>
      <c r="C23">
        <v>937</v>
      </c>
      <c r="D23">
        <v>302</v>
      </c>
      <c r="E23">
        <v>265</v>
      </c>
      <c r="F23">
        <v>663</v>
      </c>
      <c r="G23">
        <v>950</v>
      </c>
      <c r="H23">
        <v>259</v>
      </c>
      <c r="I23">
        <v>332</v>
      </c>
      <c r="J23">
        <v>228</v>
      </c>
      <c r="K23">
        <v>699</v>
      </c>
      <c r="L23">
        <v>220</v>
      </c>
      <c r="M23">
        <v>911</v>
      </c>
      <c r="N23">
        <v>882</v>
      </c>
      <c r="Q23" t="s">
        <v>245</v>
      </c>
      <c r="R23">
        <f ca="1">OFFSET(B4,MATCH(Q23,B:B,0)-4,MATCH(Q24,4:4,0)-2)</f>
        <v>724</v>
      </c>
    </row>
    <row r="24" spans="2:24" x14ac:dyDescent="0.25">
      <c r="Q24" t="s">
        <v>238</v>
      </c>
    </row>
  </sheetData>
  <mergeCells count="1">
    <mergeCell ref="Q1:V3"/>
  </mergeCells>
  <conditionalFormatting sqref="B5:B23">
    <cfRule type="duplicateValues" dxfId="14" priority="1"/>
    <cfRule type="duplicateValues" dxfId="13" priority="2"/>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040CB-5654-4CAE-AEF3-F69DFB31B4B6}">
  <sheetPr codeName="Sheet28">
    <pageSetUpPr autoPageBreaks="0"/>
  </sheetPr>
  <dimension ref="A1:AD24"/>
  <sheetViews>
    <sheetView zoomScaleNormal="100" workbookViewId="0">
      <selection activeCell="M28" sqref="M28"/>
    </sheetView>
  </sheetViews>
  <sheetFormatPr defaultRowHeight="15" x14ac:dyDescent="0.25"/>
  <cols>
    <col min="1" max="1" width="11" bestFit="1" customWidth="1"/>
    <col min="2" max="2" width="4.42578125" bestFit="1" customWidth="1"/>
    <col min="3" max="3" width="4.140625" bestFit="1" customWidth="1"/>
    <col min="4" max="4" width="5.140625" bestFit="1" customWidth="1"/>
    <col min="5" max="5" width="4.5703125" bestFit="1" customWidth="1"/>
    <col min="6" max="6" width="5" bestFit="1" customWidth="1"/>
    <col min="7" max="7" width="4.42578125" bestFit="1" customWidth="1"/>
    <col min="8" max="8" width="4" bestFit="1" customWidth="1"/>
    <col min="9" max="9" width="4.85546875" bestFit="1" customWidth="1"/>
    <col min="10" max="10" width="4.140625" bestFit="1" customWidth="1"/>
    <col min="11" max="11" width="4.5703125" bestFit="1" customWidth="1"/>
    <col min="12" max="12" width="5.140625" bestFit="1" customWidth="1"/>
    <col min="13" max="13" width="4.42578125" bestFit="1" customWidth="1"/>
    <col min="14" max="14" width="6.140625" bestFit="1" customWidth="1"/>
    <col min="15" max="15" width="6.140625" customWidth="1"/>
    <col min="16" max="16" width="11" bestFit="1" customWidth="1"/>
    <col min="17" max="17" width="8.42578125" bestFit="1" customWidth="1"/>
    <col min="20" max="20" width="5" bestFit="1" customWidth="1"/>
    <col min="21" max="21" width="6" bestFit="1" customWidth="1"/>
    <col min="22" max="23" width="7" bestFit="1" customWidth="1"/>
    <col min="29" max="29" width="11" bestFit="1" customWidth="1"/>
    <col min="30" max="30" width="12" bestFit="1" customWidth="1"/>
  </cols>
  <sheetData>
    <row r="1" spans="1:30" x14ac:dyDescent="0.25">
      <c r="N1" s="52" t="s">
        <v>259</v>
      </c>
      <c r="O1" s="52"/>
      <c r="P1" s="52"/>
      <c r="Q1" s="52"/>
      <c r="R1" s="52"/>
      <c r="S1" s="52"/>
      <c r="T1" s="52"/>
    </row>
    <row r="2" spans="1:30" x14ac:dyDescent="0.25">
      <c r="N2" s="52"/>
      <c r="O2" s="52"/>
      <c r="P2" s="52"/>
      <c r="Q2" s="52"/>
      <c r="R2" s="52"/>
      <c r="S2" s="52"/>
      <c r="T2" s="52"/>
    </row>
    <row r="3" spans="1:30" x14ac:dyDescent="0.25">
      <c r="N3" s="52"/>
      <c r="O3" s="52"/>
      <c r="P3" s="52"/>
      <c r="Q3" s="52"/>
      <c r="R3" s="52"/>
      <c r="S3" s="52"/>
      <c r="T3" s="52"/>
    </row>
    <row r="5" spans="1:30" x14ac:dyDescent="0.25">
      <c r="A5" t="s">
        <v>0</v>
      </c>
      <c r="B5" t="s">
        <v>251</v>
      </c>
      <c r="C5" t="s">
        <v>209</v>
      </c>
      <c r="D5" t="s">
        <v>252</v>
      </c>
      <c r="E5" t="s">
        <v>253</v>
      </c>
      <c r="F5" t="s">
        <v>254</v>
      </c>
      <c r="G5" t="s">
        <v>255</v>
      </c>
      <c r="H5" t="s">
        <v>249</v>
      </c>
      <c r="I5" t="s">
        <v>248</v>
      </c>
      <c r="J5" t="s">
        <v>256</v>
      </c>
      <c r="K5" t="s">
        <v>237</v>
      </c>
      <c r="L5" t="s">
        <v>238</v>
      </c>
      <c r="M5" t="s">
        <v>250</v>
      </c>
      <c r="T5" t="s">
        <v>258</v>
      </c>
      <c r="U5" t="s">
        <v>173</v>
      </c>
      <c r="Y5" t="s">
        <v>173</v>
      </c>
      <c r="Z5" t="s">
        <v>206</v>
      </c>
      <c r="AA5" t="s">
        <v>207</v>
      </c>
      <c r="AB5" t="s">
        <v>208</v>
      </c>
    </row>
    <row r="6" spans="1:30" x14ac:dyDescent="0.25">
      <c r="A6" t="s">
        <v>239</v>
      </c>
      <c r="B6">
        <v>474</v>
      </c>
      <c r="C6">
        <v>611</v>
      </c>
      <c r="D6">
        <v>971</v>
      </c>
      <c r="E6">
        <v>431</v>
      </c>
      <c r="F6">
        <v>814</v>
      </c>
      <c r="G6">
        <v>719</v>
      </c>
      <c r="H6">
        <v>988</v>
      </c>
      <c r="I6">
        <v>294</v>
      </c>
      <c r="J6">
        <v>954</v>
      </c>
      <c r="K6">
        <v>661</v>
      </c>
      <c r="L6">
        <v>213</v>
      </c>
      <c r="M6">
        <v>496</v>
      </c>
      <c r="N6" t="b">
        <f>A6="PANNA LAL"</f>
        <v>1</v>
      </c>
      <c r="O6" t="b">
        <f>A6="MOHAN"</f>
        <v>0</v>
      </c>
      <c r="T6">
        <v>11</v>
      </c>
      <c r="U6">
        <v>860</v>
      </c>
      <c r="V6">
        <f>T6*U6</f>
        <v>9460</v>
      </c>
      <c r="Y6">
        <v>11</v>
      </c>
      <c r="Z6">
        <v>860</v>
      </c>
      <c r="AA6">
        <v>988</v>
      </c>
      <c r="AB6">
        <v>294</v>
      </c>
      <c r="AC6">
        <f>AB6+AA6+Z6*Y6</f>
        <v>10742</v>
      </c>
    </row>
    <row r="7" spans="1:30" x14ac:dyDescent="0.25">
      <c r="A7" t="s">
        <v>187</v>
      </c>
      <c r="B7">
        <v>754</v>
      </c>
      <c r="C7">
        <v>377</v>
      </c>
      <c r="D7">
        <v>125</v>
      </c>
      <c r="E7">
        <v>473</v>
      </c>
      <c r="F7">
        <v>999</v>
      </c>
      <c r="G7">
        <v>235</v>
      </c>
      <c r="H7">
        <v>736</v>
      </c>
      <c r="I7">
        <v>694</v>
      </c>
      <c r="J7">
        <v>578</v>
      </c>
      <c r="K7">
        <v>191</v>
      </c>
      <c r="L7">
        <v>309</v>
      </c>
      <c r="M7">
        <v>647</v>
      </c>
      <c r="N7" t="b">
        <f t="shared" ref="N7:N24" si="0">A7="PANNA LAL"</f>
        <v>0</v>
      </c>
      <c r="O7" t="b">
        <f t="shared" ref="O7:O24" si="1">A7="MOHAN"</f>
        <v>1</v>
      </c>
      <c r="Q7" t="b">
        <f>A6:A24="PANNA LAL"</f>
        <v>0</v>
      </c>
      <c r="T7">
        <v>64</v>
      </c>
      <c r="U7">
        <v>725</v>
      </c>
      <c r="V7">
        <f t="shared" ref="V7:V18" si="2">T7*U7</f>
        <v>46400</v>
      </c>
      <c r="Y7">
        <v>64</v>
      </c>
      <c r="Z7">
        <v>725</v>
      </c>
      <c r="AA7">
        <v>736</v>
      </c>
      <c r="AB7">
        <v>694</v>
      </c>
      <c r="AC7">
        <f t="shared" ref="AC7:AC18" si="3">AB7+AA7+Z7*Y7</f>
        <v>47830</v>
      </c>
    </row>
    <row r="8" spans="1:30" x14ac:dyDescent="0.25">
      <c r="A8" t="s">
        <v>64</v>
      </c>
      <c r="B8">
        <v>626</v>
      </c>
      <c r="C8">
        <v>111</v>
      </c>
      <c r="D8">
        <v>671</v>
      </c>
      <c r="E8">
        <v>173</v>
      </c>
      <c r="F8">
        <v>520</v>
      </c>
      <c r="G8">
        <v>344</v>
      </c>
      <c r="H8">
        <v>474</v>
      </c>
      <c r="I8">
        <v>266</v>
      </c>
      <c r="J8">
        <v>731</v>
      </c>
      <c r="K8">
        <v>910</v>
      </c>
      <c r="L8">
        <v>798</v>
      </c>
      <c r="M8">
        <v>726</v>
      </c>
      <c r="N8" t="b">
        <f t="shared" si="0"/>
        <v>0</v>
      </c>
      <c r="O8" t="b">
        <f t="shared" si="1"/>
        <v>0</v>
      </c>
      <c r="T8">
        <v>16</v>
      </c>
      <c r="U8">
        <v>295</v>
      </c>
      <c r="V8">
        <f t="shared" si="2"/>
        <v>4720</v>
      </c>
      <c r="Y8">
        <v>16</v>
      </c>
      <c r="Z8">
        <v>295</v>
      </c>
      <c r="AA8">
        <v>474</v>
      </c>
      <c r="AB8">
        <v>266</v>
      </c>
      <c r="AC8">
        <f t="shared" si="3"/>
        <v>5460</v>
      </c>
    </row>
    <row r="9" spans="1:30" x14ac:dyDescent="0.25">
      <c r="A9" t="s">
        <v>47</v>
      </c>
      <c r="B9">
        <v>174</v>
      </c>
      <c r="C9">
        <v>245</v>
      </c>
      <c r="D9">
        <v>313</v>
      </c>
      <c r="E9">
        <v>937</v>
      </c>
      <c r="F9">
        <v>811</v>
      </c>
      <c r="G9">
        <v>244</v>
      </c>
      <c r="H9">
        <v>165</v>
      </c>
      <c r="I9">
        <v>763</v>
      </c>
      <c r="J9">
        <v>482</v>
      </c>
      <c r="K9">
        <v>137</v>
      </c>
      <c r="L9">
        <v>982</v>
      </c>
      <c r="M9">
        <v>950</v>
      </c>
      <c r="N9" t="b">
        <f t="shared" si="0"/>
        <v>0</v>
      </c>
      <c r="O9" t="b">
        <f>A9="MOHAN"</f>
        <v>0</v>
      </c>
      <c r="T9">
        <v>13</v>
      </c>
      <c r="U9">
        <v>889</v>
      </c>
      <c r="V9">
        <f t="shared" si="2"/>
        <v>11557</v>
      </c>
      <c r="Y9">
        <v>13</v>
      </c>
      <c r="Z9">
        <v>889</v>
      </c>
      <c r="AA9">
        <v>165</v>
      </c>
      <c r="AB9">
        <v>763</v>
      </c>
      <c r="AC9">
        <f t="shared" si="3"/>
        <v>12485</v>
      </c>
    </row>
    <row r="10" spans="1:30" x14ac:dyDescent="0.25">
      <c r="A10" t="s">
        <v>48</v>
      </c>
      <c r="B10">
        <v>225</v>
      </c>
      <c r="C10">
        <v>587</v>
      </c>
      <c r="D10">
        <v>586</v>
      </c>
      <c r="E10">
        <v>600</v>
      </c>
      <c r="F10">
        <v>573</v>
      </c>
      <c r="G10">
        <v>982</v>
      </c>
      <c r="H10">
        <v>205</v>
      </c>
      <c r="I10">
        <v>489</v>
      </c>
      <c r="J10">
        <v>367</v>
      </c>
      <c r="K10">
        <v>152</v>
      </c>
      <c r="L10">
        <v>516</v>
      </c>
      <c r="M10">
        <v>972</v>
      </c>
      <c r="N10" t="b">
        <f t="shared" si="0"/>
        <v>0</v>
      </c>
      <c r="O10" t="b">
        <f t="shared" si="1"/>
        <v>0</v>
      </c>
      <c r="T10">
        <v>53</v>
      </c>
      <c r="U10">
        <v>114</v>
      </c>
      <c r="V10">
        <f t="shared" si="2"/>
        <v>6042</v>
      </c>
      <c r="W10">
        <f>SUMPRODUCT(T6:T18,U6:U18)</f>
        <v>365606</v>
      </c>
      <c r="Y10">
        <v>53</v>
      </c>
      <c r="Z10">
        <v>114</v>
      </c>
      <c r="AA10">
        <v>205</v>
      </c>
      <c r="AB10">
        <v>489</v>
      </c>
      <c r="AC10">
        <f t="shared" si="3"/>
        <v>6736</v>
      </c>
    </row>
    <row r="11" spans="1:30" x14ac:dyDescent="0.25">
      <c r="A11" t="s">
        <v>46</v>
      </c>
      <c r="B11">
        <v>207</v>
      </c>
      <c r="C11">
        <v>576</v>
      </c>
      <c r="D11">
        <v>415</v>
      </c>
      <c r="E11">
        <v>853</v>
      </c>
      <c r="F11">
        <v>908</v>
      </c>
      <c r="G11">
        <v>803</v>
      </c>
      <c r="H11">
        <v>101</v>
      </c>
      <c r="I11">
        <v>961</v>
      </c>
      <c r="J11">
        <v>246</v>
      </c>
      <c r="K11">
        <v>908</v>
      </c>
      <c r="L11">
        <v>858</v>
      </c>
      <c r="M11">
        <v>699</v>
      </c>
      <c r="N11" t="b">
        <f t="shared" si="0"/>
        <v>0</v>
      </c>
      <c r="O11" t="b">
        <f t="shared" si="1"/>
        <v>0</v>
      </c>
      <c r="T11">
        <v>13</v>
      </c>
      <c r="U11">
        <v>822</v>
      </c>
      <c r="V11">
        <f t="shared" si="2"/>
        <v>10686</v>
      </c>
      <c r="Y11">
        <v>13</v>
      </c>
      <c r="Z11">
        <v>822</v>
      </c>
      <c r="AA11">
        <v>101</v>
      </c>
      <c r="AB11">
        <v>961</v>
      </c>
      <c r="AC11">
        <f t="shared" si="3"/>
        <v>11748</v>
      </c>
      <c r="AD11">
        <f>SUMPRODUCT(Y6:Y18,Z6:Z18,AA6:AA18,AB6:AB18)</f>
        <v>78747233151</v>
      </c>
    </row>
    <row r="12" spans="1:30" x14ac:dyDescent="0.25">
      <c r="A12" t="s">
        <v>66</v>
      </c>
      <c r="B12">
        <v>440</v>
      </c>
      <c r="C12">
        <v>711</v>
      </c>
      <c r="D12">
        <v>315</v>
      </c>
      <c r="E12">
        <v>506</v>
      </c>
      <c r="F12">
        <v>101</v>
      </c>
      <c r="G12">
        <v>896</v>
      </c>
      <c r="H12">
        <v>319</v>
      </c>
      <c r="I12">
        <v>141</v>
      </c>
      <c r="J12">
        <v>334</v>
      </c>
      <c r="K12">
        <v>854</v>
      </c>
      <c r="L12">
        <v>212</v>
      </c>
      <c r="M12">
        <v>346</v>
      </c>
      <c r="N12" t="b">
        <f t="shared" si="0"/>
        <v>0</v>
      </c>
      <c r="O12" t="b">
        <f t="shared" si="1"/>
        <v>0</v>
      </c>
      <c r="T12">
        <v>79</v>
      </c>
      <c r="U12">
        <v>670</v>
      </c>
      <c r="V12">
        <f t="shared" si="2"/>
        <v>52930</v>
      </c>
      <c r="Y12">
        <v>79</v>
      </c>
      <c r="Z12">
        <v>670</v>
      </c>
      <c r="AA12">
        <v>319</v>
      </c>
      <c r="AB12">
        <v>141</v>
      </c>
      <c r="AC12">
        <f t="shared" si="3"/>
        <v>53390</v>
      </c>
    </row>
    <row r="13" spans="1:30" x14ac:dyDescent="0.25">
      <c r="A13" t="s">
        <v>2</v>
      </c>
      <c r="B13">
        <v>496</v>
      </c>
      <c r="C13">
        <v>160</v>
      </c>
      <c r="D13">
        <v>978</v>
      </c>
      <c r="E13">
        <v>406</v>
      </c>
      <c r="F13">
        <v>222</v>
      </c>
      <c r="G13">
        <v>277</v>
      </c>
      <c r="H13">
        <v>676</v>
      </c>
      <c r="I13">
        <v>958</v>
      </c>
      <c r="J13">
        <v>782</v>
      </c>
      <c r="K13">
        <v>592</v>
      </c>
      <c r="L13">
        <v>523</v>
      </c>
      <c r="M13">
        <v>784</v>
      </c>
      <c r="N13" t="b">
        <f t="shared" si="0"/>
        <v>0</v>
      </c>
      <c r="O13" t="b">
        <f t="shared" si="1"/>
        <v>0</v>
      </c>
      <c r="P13" t="s">
        <v>239</v>
      </c>
      <c r="Q13">
        <f>SUMPRODUCT((A6:A24=P13)*B6:M24)</f>
        <v>12188</v>
      </c>
      <c r="T13">
        <v>21</v>
      </c>
      <c r="U13">
        <v>779</v>
      </c>
      <c r="V13">
        <f t="shared" si="2"/>
        <v>16359</v>
      </c>
      <c r="Y13">
        <v>21</v>
      </c>
      <c r="Z13">
        <v>779</v>
      </c>
      <c r="AA13">
        <v>676</v>
      </c>
      <c r="AB13">
        <v>958</v>
      </c>
      <c r="AC13">
        <f t="shared" si="3"/>
        <v>17993</v>
      </c>
    </row>
    <row r="14" spans="1:30" x14ac:dyDescent="0.25">
      <c r="A14" t="s">
        <v>240</v>
      </c>
      <c r="B14">
        <v>730</v>
      </c>
      <c r="C14">
        <v>472</v>
      </c>
      <c r="D14">
        <v>110</v>
      </c>
      <c r="E14">
        <v>581</v>
      </c>
      <c r="F14">
        <v>165</v>
      </c>
      <c r="G14">
        <v>336</v>
      </c>
      <c r="H14">
        <v>271</v>
      </c>
      <c r="I14">
        <v>408</v>
      </c>
      <c r="J14">
        <v>651</v>
      </c>
      <c r="K14">
        <v>342</v>
      </c>
      <c r="L14">
        <v>595</v>
      </c>
      <c r="M14">
        <v>695</v>
      </c>
      <c r="N14" t="b">
        <f>A14="PANNA LAL"</f>
        <v>0</v>
      </c>
      <c r="O14" t="b">
        <f t="shared" si="1"/>
        <v>0</v>
      </c>
      <c r="T14">
        <v>23</v>
      </c>
      <c r="U14">
        <v>791</v>
      </c>
      <c r="V14">
        <f t="shared" si="2"/>
        <v>18193</v>
      </c>
      <c r="Y14">
        <v>23</v>
      </c>
      <c r="Z14">
        <v>791</v>
      </c>
      <c r="AA14">
        <v>271</v>
      </c>
      <c r="AB14">
        <v>408</v>
      </c>
      <c r="AC14">
        <f t="shared" si="3"/>
        <v>18872</v>
      </c>
    </row>
    <row r="15" spans="1:30" x14ac:dyDescent="0.25">
      <c r="A15" t="s">
        <v>241</v>
      </c>
      <c r="B15">
        <v>185</v>
      </c>
      <c r="C15">
        <v>273</v>
      </c>
      <c r="D15">
        <v>748</v>
      </c>
      <c r="E15">
        <v>107</v>
      </c>
      <c r="F15">
        <v>246</v>
      </c>
      <c r="G15">
        <v>624</v>
      </c>
      <c r="H15">
        <v>283</v>
      </c>
      <c r="I15">
        <v>458</v>
      </c>
      <c r="J15">
        <v>368</v>
      </c>
      <c r="K15">
        <v>844</v>
      </c>
      <c r="L15">
        <v>285</v>
      </c>
      <c r="M15">
        <v>458</v>
      </c>
      <c r="N15" t="b">
        <f t="shared" si="0"/>
        <v>0</v>
      </c>
      <c r="O15" t="b">
        <f t="shared" si="1"/>
        <v>0</v>
      </c>
      <c r="P15" t="s">
        <v>187</v>
      </c>
      <c r="Q15">
        <f>SUMPRODUCT((A6:A24=P15)*B6:M24)</f>
        <v>11858</v>
      </c>
      <c r="T15">
        <v>96</v>
      </c>
      <c r="U15">
        <v>1000</v>
      </c>
      <c r="V15">
        <f t="shared" si="2"/>
        <v>96000</v>
      </c>
      <c r="Y15">
        <v>96</v>
      </c>
      <c r="Z15">
        <v>1000</v>
      </c>
      <c r="AA15">
        <v>283</v>
      </c>
      <c r="AB15">
        <v>458</v>
      </c>
      <c r="AC15">
        <f t="shared" si="3"/>
        <v>96741</v>
      </c>
    </row>
    <row r="16" spans="1:30" x14ac:dyDescent="0.25">
      <c r="A16" t="s">
        <v>246</v>
      </c>
      <c r="B16">
        <v>257</v>
      </c>
      <c r="C16">
        <v>702</v>
      </c>
      <c r="D16">
        <v>519</v>
      </c>
      <c r="E16">
        <v>354</v>
      </c>
      <c r="F16">
        <v>276</v>
      </c>
      <c r="G16">
        <v>235</v>
      </c>
      <c r="H16">
        <v>722</v>
      </c>
      <c r="I16">
        <v>472</v>
      </c>
      <c r="J16">
        <v>109</v>
      </c>
      <c r="K16">
        <v>861</v>
      </c>
      <c r="L16">
        <v>587</v>
      </c>
      <c r="M16">
        <v>791</v>
      </c>
      <c r="N16" t="b">
        <f t="shared" si="0"/>
        <v>0</v>
      </c>
      <c r="O16" t="b">
        <f t="shared" si="1"/>
        <v>0</v>
      </c>
      <c r="T16">
        <v>62</v>
      </c>
      <c r="U16">
        <v>798</v>
      </c>
      <c r="V16">
        <f t="shared" si="2"/>
        <v>49476</v>
      </c>
      <c r="Y16">
        <v>62</v>
      </c>
      <c r="Z16">
        <v>798</v>
      </c>
      <c r="AA16">
        <v>722</v>
      </c>
      <c r="AB16">
        <v>472</v>
      </c>
      <c r="AC16">
        <f t="shared" si="3"/>
        <v>50670</v>
      </c>
    </row>
    <row r="17" spans="1:29" x14ac:dyDescent="0.25">
      <c r="A17" t="s">
        <v>239</v>
      </c>
      <c r="B17">
        <v>268</v>
      </c>
      <c r="C17">
        <v>174</v>
      </c>
      <c r="D17">
        <v>131</v>
      </c>
      <c r="E17">
        <v>425</v>
      </c>
      <c r="F17">
        <v>139</v>
      </c>
      <c r="G17">
        <v>206</v>
      </c>
      <c r="H17">
        <v>433</v>
      </c>
      <c r="I17">
        <v>125</v>
      </c>
      <c r="J17">
        <v>853</v>
      </c>
      <c r="K17">
        <v>692</v>
      </c>
      <c r="L17">
        <v>791</v>
      </c>
      <c r="M17">
        <v>325</v>
      </c>
      <c r="N17" t="b">
        <f t="shared" si="0"/>
        <v>1</v>
      </c>
      <c r="O17" t="b">
        <f t="shared" si="1"/>
        <v>0</v>
      </c>
      <c r="P17" t="s">
        <v>246</v>
      </c>
      <c r="Q17">
        <f>SUMPRODUCT((A6:A24=P17)*B6:M24)</f>
        <v>5885</v>
      </c>
      <c r="T17">
        <v>40</v>
      </c>
      <c r="U17">
        <v>944</v>
      </c>
      <c r="V17">
        <f t="shared" si="2"/>
        <v>37760</v>
      </c>
      <c r="Y17">
        <v>40</v>
      </c>
      <c r="Z17">
        <v>944</v>
      </c>
      <c r="AA17">
        <v>433</v>
      </c>
      <c r="AB17">
        <v>125</v>
      </c>
      <c r="AC17">
        <f t="shared" si="3"/>
        <v>38318</v>
      </c>
    </row>
    <row r="18" spans="1:29" x14ac:dyDescent="0.25">
      <c r="A18" t="s">
        <v>187</v>
      </c>
      <c r="B18">
        <v>305</v>
      </c>
      <c r="C18">
        <v>382</v>
      </c>
      <c r="D18">
        <v>786</v>
      </c>
      <c r="E18">
        <v>191</v>
      </c>
      <c r="F18">
        <v>343</v>
      </c>
      <c r="G18">
        <v>484</v>
      </c>
      <c r="H18">
        <v>750</v>
      </c>
      <c r="I18">
        <v>503</v>
      </c>
      <c r="J18">
        <v>273</v>
      </c>
      <c r="K18">
        <v>968</v>
      </c>
      <c r="L18">
        <v>453</v>
      </c>
      <c r="M18">
        <v>302</v>
      </c>
      <c r="N18" t="b">
        <f t="shared" si="0"/>
        <v>0</v>
      </c>
      <c r="O18" t="b">
        <f>A18="MOHAN"</f>
        <v>1</v>
      </c>
      <c r="T18">
        <v>19</v>
      </c>
      <c r="U18">
        <v>317</v>
      </c>
      <c r="V18">
        <f t="shared" si="2"/>
        <v>6023</v>
      </c>
      <c r="Y18">
        <v>19</v>
      </c>
      <c r="Z18">
        <v>317</v>
      </c>
      <c r="AA18">
        <v>750</v>
      </c>
      <c r="AB18">
        <v>503</v>
      </c>
      <c r="AC18">
        <f t="shared" si="3"/>
        <v>7276</v>
      </c>
    </row>
    <row r="19" spans="1:29" x14ac:dyDescent="0.25">
      <c r="A19" t="s">
        <v>64</v>
      </c>
      <c r="B19">
        <v>834</v>
      </c>
      <c r="C19">
        <v>292</v>
      </c>
      <c r="D19">
        <v>954</v>
      </c>
      <c r="E19">
        <v>461</v>
      </c>
      <c r="F19">
        <v>750</v>
      </c>
      <c r="G19">
        <v>399</v>
      </c>
      <c r="H19">
        <v>932</v>
      </c>
      <c r="I19">
        <v>751</v>
      </c>
      <c r="J19">
        <v>310</v>
      </c>
      <c r="K19">
        <v>122</v>
      </c>
      <c r="L19">
        <v>418</v>
      </c>
      <c r="M19">
        <v>265</v>
      </c>
      <c r="N19" t="b">
        <f t="shared" si="0"/>
        <v>0</v>
      </c>
      <c r="O19" t="b">
        <f t="shared" si="1"/>
        <v>0</v>
      </c>
      <c r="V19">
        <f>SUM(V6:V18)</f>
        <v>365606</v>
      </c>
      <c r="AC19">
        <f>SUM(AC6:AC18)</f>
        <v>378261</v>
      </c>
    </row>
    <row r="20" spans="1:29" x14ac:dyDescent="0.25">
      <c r="A20" t="s">
        <v>47</v>
      </c>
      <c r="B20">
        <v>977</v>
      </c>
      <c r="C20">
        <v>471</v>
      </c>
      <c r="D20">
        <v>614</v>
      </c>
      <c r="E20">
        <v>941</v>
      </c>
      <c r="F20">
        <v>396</v>
      </c>
      <c r="G20">
        <v>817</v>
      </c>
      <c r="H20">
        <v>255</v>
      </c>
      <c r="I20">
        <v>490</v>
      </c>
      <c r="J20">
        <v>452</v>
      </c>
      <c r="K20">
        <v>645</v>
      </c>
      <c r="L20">
        <v>305</v>
      </c>
      <c r="M20">
        <v>432</v>
      </c>
      <c r="N20" t="b">
        <f t="shared" si="0"/>
        <v>0</v>
      </c>
      <c r="O20" t="b">
        <f t="shared" si="1"/>
        <v>0</v>
      </c>
    </row>
    <row r="21" spans="1:29" x14ac:dyDescent="0.25">
      <c r="A21" t="s">
        <v>48</v>
      </c>
      <c r="B21">
        <v>783</v>
      </c>
      <c r="C21">
        <v>748</v>
      </c>
      <c r="D21">
        <v>777</v>
      </c>
      <c r="E21">
        <v>327</v>
      </c>
      <c r="F21">
        <v>505</v>
      </c>
      <c r="G21">
        <v>397</v>
      </c>
      <c r="H21">
        <v>362</v>
      </c>
      <c r="I21">
        <v>722</v>
      </c>
      <c r="J21">
        <v>849</v>
      </c>
      <c r="K21">
        <v>965</v>
      </c>
      <c r="L21">
        <v>354</v>
      </c>
      <c r="M21">
        <v>689</v>
      </c>
      <c r="N21" t="b">
        <f t="shared" si="0"/>
        <v>0</v>
      </c>
      <c r="O21" t="b">
        <f t="shared" si="1"/>
        <v>0</v>
      </c>
    </row>
    <row r="22" spans="1:29" x14ac:dyDescent="0.25">
      <c r="A22" t="s">
        <v>46</v>
      </c>
      <c r="B22">
        <v>429</v>
      </c>
      <c r="C22">
        <v>277</v>
      </c>
      <c r="D22">
        <v>959</v>
      </c>
      <c r="E22">
        <v>670</v>
      </c>
      <c r="F22">
        <v>662</v>
      </c>
      <c r="G22">
        <v>512</v>
      </c>
      <c r="H22">
        <v>488</v>
      </c>
      <c r="I22">
        <v>102</v>
      </c>
      <c r="J22">
        <v>953</v>
      </c>
      <c r="K22">
        <v>488</v>
      </c>
      <c r="L22">
        <v>846</v>
      </c>
      <c r="M22">
        <v>692</v>
      </c>
      <c r="N22" t="b">
        <f t="shared" si="0"/>
        <v>0</v>
      </c>
      <c r="O22" t="b">
        <f t="shared" si="1"/>
        <v>0</v>
      </c>
    </row>
    <row r="23" spans="1:29" x14ac:dyDescent="0.25">
      <c r="A23" t="s">
        <v>66</v>
      </c>
      <c r="B23">
        <v>719</v>
      </c>
      <c r="C23">
        <v>404</v>
      </c>
      <c r="D23">
        <v>535</v>
      </c>
      <c r="E23">
        <v>578</v>
      </c>
      <c r="F23">
        <v>983</v>
      </c>
      <c r="G23">
        <v>701</v>
      </c>
      <c r="H23">
        <v>277</v>
      </c>
      <c r="I23">
        <v>887</v>
      </c>
      <c r="J23">
        <v>632</v>
      </c>
      <c r="K23">
        <v>170</v>
      </c>
      <c r="L23">
        <v>724</v>
      </c>
      <c r="M23">
        <v>710</v>
      </c>
      <c r="N23" t="b">
        <f t="shared" si="0"/>
        <v>0</v>
      </c>
      <c r="O23" t="b">
        <f t="shared" si="1"/>
        <v>0</v>
      </c>
    </row>
    <row r="24" spans="1:29" x14ac:dyDescent="0.25">
      <c r="A24" t="s">
        <v>2</v>
      </c>
      <c r="B24">
        <v>937</v>
      </c>
      <c r="C24">
        <v>302</v>
      </c>
      <c r="D24">
        <v>265</v>
      </c>
      <c r="E24">
        <v>663</v>
      </c>
      <c r="F24">
        <v>950</v>
      </c>
      <c r="G24">
        <v>259</v>
      </c>
      <c r="H24">
        <v>332</v>
      </c>
      <c r="I24">
        <v>228</v>
      </c>
      <c r="J24">
        <v>699</v>
      </c>
      <c r="K24">
        <v>220</v>
      </c>
      <c r="L24">
        <v>911</v>
      </c>
      <c r="M24">
        <v>882</v>
      </c>
      <c r="N24" t="b">
        <f t="shared" si="0"/>
        <v>0</v>
      </c>
      <c r="O24" t="b">
        <f t="shared" si="1"/>
        <v>0</v>
      </c>
    </row>
  </sheetData>
  <dataConsolidate/>
  <mergeCells count="1">
    <mergeCell ref="N1:T3"/>
  </mergeCells>
  <conditionalFormatting sqref="Q7:Q8">
    <cfRule type="duplicateValues" dxfId="12" priority="1"/>
    <cfRule type="duplicateValues" dxfId="11" priority="2"/>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4B58C-0DA0-4744-947B-B8E167C1D5DF}">
  <sheetPr codeName="Sheet29"/>
  <dimension ref="A1:Q31"/>
  <sheetViews>
    <sheetView workbookViewId="0">
      <selection activeCell="M28" sqref="M28"/>
    </sheetView>
  </sheetViews>
  <sheetFormatPr defaultRowHeight="15" x14ac:dyDescent="0.25"/>
  <cols>
    <col min="1" max="1" width="10.42578125" bestFit="1" customWidth="1"/>
    <col min="4" max="4" width="10.42578125" bestFit="1" customWidth="1"/>
    <col min="7" max="7" width="10.42578125" bestFit="1" customWidth="1"/>
  </cols>
  <sheetData>
    <row r="1" spans="1:17" x14ac:dyDescent="0.25">
      <c r="H1" s="48" t="s">
        <v>259</v>
      </c>
      <c r="I1" s="48"/>
      <c r="J1" s="48"/>
      <c r="K1" s="48"/>
      <c r="L1" s="48"/>
      <c r="M1" s="48"/>
      <c r="N1" s="48"/>
    </row>
    <row r="2" spans="1:17" x14ac:dyDescent="0.25">
      <c r="H2" s="48"/>
      <c r="I2" s="48"/>
      <c r="J2" s="48"/>
      <c r="K2" s="48"/>
      <c r="L2" s="48"/>
      <c r="M2" s="48"/>
      <c r="N2" s="48"/>
    </row>
    <row r="3" spans="1:17" x14ac:dyDescent="0.25">
      <c r="H3" s="48"/>
      <c r="I3" s="48"/>
      <c r="J3" s="48"/>
      <c r="K3" s="48"/>
      <c r="L3" s="48"/>
      <c r="M3" s="48"/>
      <c r="N3" s="48"/>
    </row>
    <row r="5" spans="1:17" x14ac:dyDescent="0.25">
      <c r="A5" s="10">
        <v>43837</v>
      </c>
      <c r="B5" t="str">
        <f>TEXT(A5,"DDDD")</f>
        <v>Tuesday</v>
      </c>
      <c r="C5" t="str">
        <f>TEXT(A5,"MMMM")</f>
        <v>January</v>
      </c>
      <c r="D5" t="str">
        <f>TEXT(A5,"YYYY")</f>
        <v>2020</v>
      </c>
      <c r="E5">
        <f>SUMPRODUCT(1*(TEXT(A5:A17,"DDD")="Mon"))</f>
        <v>2</v>
      </c>
      <c r="F5" s="12"/>
      <c r="K5" t="s">
        <v>173</v>
      </c>
      <c r="L5" t="s">
        <v>206</v>
      </c>
      <c r="M5" t="s">
        <v>207</v>
      </c>
      <c r="N5" t="s">
        <v>208</v>
      </c>
      <c r="O5" t="s">
        <v>210</v>
      </c>
    </row>
    <row r="6" spans="1:17" x14ac:dyDescent="0.25">
      <c r="A6" s="10">
        <v>43832</v>
      </c>
      <c r="B6" t="str">
        <f t="shared" ref="B6:B17" si="0">TEXT(A6,"DDDD")</f>
        <v>Thursday</v>
      </c>
      <c r="C6" t="str">
        <f t="shared" ref="C6:C17" si="1">TEXT(A6,"MMMM")</f>
        <v>January</v>
      </c>
      <c r="D6" t="str">
        <f t="shared" ref="D6:D17" si="2">TEXT(A6,"YYYY")</f>
        <v>2020</v>
      </c>
      <c r="E6" t="b">
        <f>TEXT(A17,"DDD")="MON"</f>
        <v>1</v>
      </c>
      <c r="F6" s="12"/>
      <c r="K6">
        <v>62</v>
      </c>
      <c r="L6">
        <v>25</v>
      </c>
      <c r="M6">
        <v>26</v>
      </c>
      <c r="N6">
        <v>97</v>
      </c>
      <c r="O6">
        <v>87</v>
      </c>
      <c r="P6">
        <f>SUM(L6:O6)*K6</f>
        <v>14570</v>
      </c>
    </row>
    <row r="7" spans="1:17" x14ac:dyDescent="0.25">
      <c r="A7" s="10">
        <v>43840</v>
      </c>
      <c r="B7" t="str">
        <f t="shared" si="0"/>
        <v>Friday</v>
      </c>
      <c r="C7" t="str">
        <f t="shared" si="1"/>
        <v>January</v>
      </c>
      <c r="D7" t="str">
        <f t="shared" si="2"/>
        <v>2020</v>
      </c>
      <c r="F7" s="12"/>
      <c r="K7">
        <v>27</v>
      </c>
      <c r="L7">
        <v>64</v>
      </c>
      <c r="M7">
        <v>65</v>
      </c>
      <c r="N7">
        <v>97</v>
      </c>
      <c r="O7">
        <v>78</v>
      </c>
      <c r="P7">
        <f t="shared" ref="P7:P15" si="3">SUM(L7:O7)*K7</f>
        <v>8208</v>
      </c>
    </row>
    <row r="8" spans="1:17" x14ac:dyDescent="0.25">
      <c r="A8" s="10">
        <v>43836</v>
      </c>
      <c r="B8" t="str">
        <f t="shared" si="0"/>
        <v>Monday</v>
      </c>
      <c r="C8" t="str">
        <f t="shared" si="1"/>
        <v>January</v>
      </c>
      <c r="D8" t="str">
        <f t="shared" si="2"/>
        <v>2020</v>
      </c>
      <c r="F8" s="12"/>
      <c r="K8">
        <v>52</v>
      </c>
      <c r="L8">
        <v>49</v>
      </c>
      <c r="M8">
        <v>20</v>
      </c>
      <c r="N8">
        <v>57</v>
      </c>
      <c r="O8">
        <v>41</v>
      </c>
      <c r="P8">
        <f t="shared" si="3"/>
        <v>8684</v>
      </c>
    </row>
    <row r="9" spans="1:17" x14ac:dyDescent="0.25">
      <c r="A9" s="10">
        <v>43840</v>
      </c>
      <c r="B9" t="str">
        <f t="shared" si="0"/>
        <v>Friday</v>
      </c>
      <c r="C9" t="str">
        <f t="shared" si="1"/>
        <v>January</v>
      </c>
      <c r="D9" t="str">
        <f t="shared" si="2"/>
        <v>2020</v>
      </c>
      <c r="K9">
        <v>85</v>
      </c>
      <c r="L9">
        <v>50</v>
      </c>
      <c r="M9">
        <v>96</v>
      </c>
      <c r="N9">
        <v>83</v>
      </c>
      <c r="O9">
        <v>85</v>
      </c>
      <c r="P9">
        <f t="shared" si="3"/>
        <v>26690</v>
      </c>
      <c r="Q9">
        <f>SUMPRODUCT((K6:K15)*(L6:O15))</f>
        <v>146387</v>
      </c>
    </row>
    <row r="10" spans="1:17" x14ac:dyDescent="0.25">
      <c r="A10" s="10">
        <v>43839</v>
      </c>
      <c r="B10" t="str">
        <f t="shared" si="0"/>
        <v>Thursday</v>
      </c>
      <c r="C10" t="str">
        <f t="shared" si="1"/>
        <v>January</v>
      </c>
      <c r="D10" t="str">
        <f t="shared" si="2"/>
        <v>2020</v>
      </c>
      <c r="K10">
        <v>42</v>
      </c>
      <c r="L10">
        <v>30</v>
      </c>
      <c r="M10">
        <v>66</v>
      </c>
      <c r="N10">
        <v>29</v>
      </c>
      <c r="O10">
        <v>61</v>
      </c>
      <c r="P10">
        <f>SUM(L10:O10)*K10</f>
        <v>7812</v>
      </c>
    </row>
    <row r="11" spans="1:17" x14ac:dyDescent="0.25">
      <c r="A11" s="10">
        <v>43833</v>
      </c>
      <c r="B11" t="str">
        <f t="shared" si="0"/>
        <v>Friday</v>
      </c>
      <c r="C11" t="str">
        <f t="shared" si="1"/>
        <v>January</v>
      </c>
      <c r="D11" t="str">
        <f t="shared" si="2"/>
        <v>2020</v>
      </c>
      <c r="K11">
        <v>85</v>
      </c>
      <c r="L11">
        <v>56</v>
      </c>
      <c r="M11">
        <v>82</v>
      </c>
      <c r="N11">
        <v>93</v>
      </c>
      <c r="O11">
        <v>41</v>
      </c>
      <c r="P11">
        <f t="shared" si="3"/>
        <v>23120</v>
      </c>
    </row>
    <row r="12" spans="1:17" x14ac:dyDescent="0.25">
      <c r="A12" s="10">
        <v>43839</v>
      </c>
      <c r="B12" t="str">
        <f t="shared" si="0"/>
        <v>Thursday</v>
      </c>
      <c r="C12" t="str">
        <f t="shared" si="1"/>
        <v>January</v>
      </c>
      <c r="D12" t="str">
        <f>TEXT(A12,"YYYY")</f>
        <v>2020</v>
      </c>
      <c r="K12">
        <v>48</v>
      </c>
      <c r="L12">
        <v>40</v>
      </c>
      <c r="M12">
        <v>89</v>
      </c>
      <c r="N12">
        <v>58</v>
      </c>
      <c r="O12">
        <v>97</v>
      </c>
      <c r="P12">
        <f t="shared" si="3"/>
        <v>13632</v>
      </c>
    </row>
    <row r="13" spans="1:17" x14ac:dyDescent="0.25">
      <c r="A13" s="10">
        <v>43832</v>
      </c>
      <c r="B13" t="str">
        <f>TEXT(A13,"DDDD")</f>
        <v>Thursday</v>
      </c>
      <c r="C13" t="str">
        <f t="shared" si="1"/>
        <v>January</v>
      </c>
      <c r="D13" t="str">
        <f t="shared" si="2"/>
        <v>2020</v>
      </c>
      <c r="K13">
        <v>52</v>
      </c>
      <c r="L13">
        <v>21</v>
      </c>
      <c r="M13">
        <v>88</v>
      </c>
      <c r="N13">
        <v>29</v>
      </c>
      <c r="O13">
        <v>63</v>
      </c>
      <c r="P13">
        <f t="shared" si="3"/>
        <v>10452</v>
      </c>
    </row>
    <row r="14" spans="1:17" x14ac:dyDescent="0.25">
      <c r="A14" s="10">
        <v>43831</v>
      </c>
      <c r="B14" t="str">
        <f t="shared" si="0"/>
        <v>Wednesday</v>
      </c>
      <c r="C14" t="str">
        <f>TEXT(A14,"MMMM")</f>
        <v>January</v>
      </c>
      <c r="D14" t="str">
        <f t="shared" si="2"/>
        <v>2020</v>
      </c>
      <c r="K14">
        <v>51</v>
      </c>
      <c r="L14">
        <v>83</v>
      </c>
      <c r="M14">
        <v>28</v>
      </c>
      <c r="N14">
        <v>45</v>
      </c>
      <c r="O14">
        <v>95</v>
      </c>
      <c r="P14">
        <f t="shared" si="3"/>
        <v>12801</v>
      </c>
    </row>
    <row r="15" spans="1:17" x14ac:dyDescent="0.25">
      <c r="A15" s="10">
        <v>43840</v>
      </c>
      <c r="B15" t="str">
        <f t="shared" si="0"/>
        <v>Friday</v>
      </c>
      <c r="C15" t="str">
        <f t="shared" si="1"/>
        <v>January</v>
      </c>
      <c r="D15" t="str">
        <f t="shared" si="2"/>
        <v>2020</v>
      </c>
      <c r="K15">
        <v>82</v>
      </c>
      <c r="L15">
        <v>54</v>
      </c>
      <c r="M15">
        <v>51</v>
      </c>
      <c r="N15">
        <v>88</v>
      </c>
      <c r="O15">
        <v>56</v>
      </c>
      <c r="P15">
        <f t="shared" si="3"/>
        <v>20418</v>
      </c>
    </row>
    <row r="16" spans="1:17" x14ac:dyDescent="0.25">
      <c r="A16" s="10">
        <v>43839</v>
      </c>
      <c r="B16" t="str">
        <f t="shared" si="0"/>
        <v>Thursday</v>
      </c>
      <c r="C16" t="str">
        <f t="shared" si="1"/>
        <v>January</v>
      </c>
      <c r="D16" t="str">
        <f t="shared" si="2"/>
        <v>2020</v>
      </c>
      <c r="P16">
        <f>SUM(P6:P15)</f>
        <v>146387</v>
      </c>
    </row>
    <row r="17" spans="1:12" x14ac:dyDescent="0.25">
      <c r="A17" s="10">
        <v>43836</v>
      </c>
      <c r="B17" t="str">
        <f t="shared" si="0"/>
        <v>Monday</v>
      </c>
      <c r="C17" t="str">
        <f t="shared" si="1"/>
        <v>January</v>
      </c>
      <c r="D17" t="str">
        <f t="shared" si="2"/>
        <v>2020</v>
      </c>
    </row>
    <row r="20" spans="1:12" x14ac:dyDescent="0.25">
      <c r="A20" t="s">
        <v>206</v>
      </c>
      <c r="B20">
        <f>MONTH(DATEVALUE(A20&amp;"1"))</f>
        <v>1</v>
      </c>
      <c r="D20" s="10">
        <f>DATEVALUE("1-2-2020")</f>
        <v>43862</v>
      </c>
      <c r="G20" s="10">
        <v>7309</v>
      </c>
      <c r="H20" t="str">
        <f>TEXT(G20,"MM")</f>
        <v>01</v>
      </c>
      <c r="I20">
        <f>MONTH(D20)</f>
        <v>2</v>
      </c>
    </row>
    <row r="21" spans="1:12" x14ac:dyDescent="0.25">
      <c r="A21" t="s">
        <v>209</v>
      </c>
      <c r="B21">
        <f t="shared" ref="B21:B31" si="4">MONTH(DATEVALUE(A21&amp;"1"))</f>
        <v>2</v>
      </c>
      <c r="D21" s="10"/>
      <c r="G21" s="10">
        <v>7308</v>
      </c>
    </row>
    <row r="22" spans="1:12" x14ac:dyDescent="0.25">
      <c r="A22" t="s">
        <v>252</v>
      </c>
      <c r="B22">
        <f t="shared" si="4"/>
        <v>3</v>
      </c>
      <c r="D22">
        <f>MONTH(DATEVALUE(A22&amp;"1"))</f>
        <v>3</v>
      </c>
      <c r="G22" s="10">
        <v>7311</v>
      </c>
    </row>
    <row r="23" spans="1:12" x14ac:dyDescent="0.25">
      <c r="A23" t="s">
        <v>253</v>
      </c>
      <c r="B23">
        <f t="shared" si="4"/>
        <v>4</v>
      </c>
      <c r="G23" s="10">
        <v>7310</v>
      </c>
    </row>
    <row r="24" spans="1:12" x14ac:dyDescent="0.25">
      <c r="A24" t="s">
        <v>254</v>
      </c>
      <c r="B24">
        <f t="shared" si="4"/>
        <v>5</v>
      </c>
      <c r="G24" s="10">
        <v>7315</v>
      </c>
      <c r="L24" s="11"/>
    </row>
    <row r="25" spans="1:12" x14ac:dyDescent="0.25">
      <c r="A25" t="s">
        <v>255</v>
      </c>
      <c r="B25">
        <f t="shared" si="4"/>
        <v>6</v>
      </c>
      <c r="D25" s="10"/>
      <c r="G25" s="10">
        <v>7313</v>
      </c>
    </row>
    <row r="26" spans="1:12" x14ac:dyDescent="0.25">
      <c r="A26" t="s">
        <v>249</v>
      </c>
      <c r="B26">
        <f t="shared" si="4"/>
        <v>7</v>
      </c>
      <c r="G26" s="10">
        <v>7315</v>
      </c>
    </row>
    <row r="27" spans="1:12" x14ac:dyDescent="0.25">
      <c r="A27" t="s">
        <v>248</v>
      </c>
      <c r="B27">
        <f t="shared" si="4"/>
        <v>8</v>
      </c>
      <c r="G27" s="10">
        <v>7312</v>
      </c>
    </row>
    <row r="28" spans="1:12" x14ac:dyDescent="0.25">
      <c r="A28" t="s">
        <v>256</v>
      </c>
      <c r="B28">
        <f t="shared" si="4"/>
        <v>9</v>
      </c>
      <c r="G28" s="10">
        <v>7307</v>
      </c>
    </row>
    <row r="29" spans="1:12" x14ac:dyDescent="0.25">
      <c r="A29" t="s">
        <v>237</v>
      </c>
      <c r="B29">
        <f t="shared" si="4"/>
        <v>10</v>
      </c>
      <c r="G29" s="10">
        <v>7309</v>
      </c>
    </row>
    <row r="30" spans="1:12" x14ac:dyDescent="0.25">
      <c r="A30" t="s">
        <v>238</v>
      </c>
      <c r="B30">
        <f t="shared" si="4"/>
        <v>11</v>
      </c>
      <c r="G30" s="10">
        <v>7312</v>
      </c>
    </row>
    <row r="31" spans="1:12" x14ac:dyDescent="0.25">
      <c r="A31" t="s">
        <v>250</v>
      </c>
      <c r="B31">
        <f t="shared" si="4"/>
        <v>12</v>
      </c>
      <c r="G31" s="10">
        <v>7306</v>
      </c>
    </row>
  </sheetData>
  <mergeCells count="1">
    <mergeCell ref="H1:N3"/>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677E4-C132-4FEC-8D4E-4DB9F965C545}">
  <sheetPr codeName="Sheet30"/>
  <dimension ref="A1:AA31"/>
  <sheetViews>
    <sheetView workbookViewId="0">
      <selection activeCell="M28" sqref="M28"/>
    </sheetView>
  </sheetViews>
  <sheetFormatPr defaultRowHeight="15" x14ac:dyDescent="0.25"/>
  <sheetData>
    <row r="1" spans="1:27" x14ac:dyDescent="0.25">
      <c r="B1" t="s">
        <v>260</v>
      </c>
      <c r="C1" t="s">
        <v>261</v>
      </c>
      <c r="D1" t="s">
        <v>262</v>
      </c>
      <c r="E1" t="s">
        <v>263</v>
      </c>
      <c r="F1" t="s">
        <v>264</v>
      </c>
      <c r="G1" t="s">
        <v>265</v>
      </c>
      <c r="H1" t="s">
        <v>266</v>
      </c>
      <c r="I1" t="s">
        <v>267</v>
      </c>
      <c r="J1" t="s">
        <v>268</v>
      </c>
      <c r="K1" t="s">
        <v>269</v>
      </c>
      <c r="L1" t="s">
        <v>270</v>
      </c>
      <c r="M1" t="s">
        <v>271</v>
      </c>
      <c r="N1" t="s">
        <v>272</v>
      </c>
      <c r="O1" t="s">
        <v>273</v>
      </c>
      <c r="P1" t="s">
        <v>274</v>
      </c>
      <c r="Q1" t="s">
        <v>275</v>
      </c>
      <c r="R1" t="s">
        <v>276</v>
      </c>
      <c r="S1" t="s">
        <v>277</v>
      </c>
      <c r="T1" t="s">
        <v>278</v>
      </c>
      <c r="U1" t="s">
        <v>279</v>
      </c>
      <c r="V1" t="s">
        <v>280</v>
      </c>
      <c r="W1" t="s">
        <v>281</v>
      </c>
      <c r="X1" t="s">
        <v>282</v>
      </c>
      <c r="Y1" t="s">
        <v>283</v>
      </c>
      <c r="Z1" t="s">
        <v>284</v>
      </c>
      <c r="AA1" t="s">
        <v>285</v>
      </c>
    </row>
    <row r="2" spans="1:27" x14ac:dyDescent="0.25">
      <c r="A2" t="s">
        <v>286</v>
      </c>
      <c r="B2" t="str">
        <f>IF(LEFT($A2,1)=B$1,$A2," ")</f>
        <v xml:space="preserve"> </v>
      </c>
      <c r="C2" t="str">
        <f>IF(LEFT($A2,1)=C$1,$A2," ")</f>
        <v>BITTU</v>
      </c>
      <c r="D2" t="str">
        <f t="shared" ref="C2:AA7" si="0">IF(LEFT($A2,1)=D$1,$A2," ")</f>
        <v xml:space="preserve"> </v>
      </c>
      <c r="E2" t="str">
        <f t="shared" si="0"/>
        <v xml:space="preserve"> </v>
      </c>
      <c r="F2" t="str">
        <f t="shared" si="0"/>
        <v xml:space="preserve"> </v>
      </c>
      <c r="G2" t="str">
        <f t="shared" si="0"/>
        <v xml:space="preserve"> </v>
      </c>
      <c r="H2" t="str">
        <f t="shared" si="0"/>
        <v xml:space="preserve"> </v>
      </c>
      <c r="I2" t="str">
        <f t="shared" si="0"/>
        <v xml:space="preserve"> </v>
      </c>
      <c r="J2" t="str">
        <f t="shared" si="0"/>
        <v xml:space="preserve"> </v>
      </c>
      <c r="K2" t="str">
        <f t="shared" si="0"/>
        <v xml:space="preserve"> </v>
      </c>
      <c r="L2" t="str">
        <f t="shared" si="0"/>
        <v xml:space="preserve"> </v>
      </c>
      <c r="M2" t="str">
        <f t="shared" si="0"/>
        <v xml:space="preserve"> </v>
      </c>
      <c r="N2" t="str">
        <f t="shared" si="0"/>
        <v xml:space="preserve"> </v>
      </c>
      <c r="O2" t="str">
        <f t="shared" si="0"/>
        <v xml:space="preserve"> </v>
      </c>
      <c r="P2" t="str">
        <f t="shared" si="0"/>
        <v xml:space="preserve"> </v>
      </c>
      <c r="Q2" t="str">
        <f t="shared" si="0"/>
        <v xml:space="preserve"> </v>
      </c>
      <c r="R2" t="str">
        <f t="shared" si="0"/>
        <v xml:space="preserve"> </v>
      </c>
      <c r="S2" t="str">
        <f t="shared" si="0"/>
        <v xml:space="preserve"> </v>
      </c>
      <c r="T2" t="str">
        <f t="shared" si="0"/>
        <v xml:space="preserve"> </v>
      </c>
      <c r="U2" t="str">
        <f t="shared" si="0"/>
        <v xml:space="preserve"> </v>
      </c>
      <c r="V2" t="str">
        <f t="shared" si="0"/>
        <v xml:space="preserve"> </v>
      </c>
      <c r="W2" t="str">
        <f t="shared" si="0"/>
        <v xml:space="preserve"> </v>
      </c>
      <c r="X2" t="str">
        <f t="shared" si="0"/>
        <v xml:space="preserve"> </v>
      </c>
      <c r="Y2" t="str">
        <f t="shared" si="0"/>
        <v xml:space="preserve"> </v>
      </c>
      <c r="Z2" t="str">
        <f t="shared" si="0"/>
        <v xml:space="preserve"> </v>
      </c>
      <c r="AA2" t="str">
        <f t="shared" si="0"/>
        <v xml:space="preserve"> </v>
      </c>
    </row>
    <row r="3" spans="1:27" x14ac:dyDescent="0.25">
      <c r="A3" t="s">
        <v>187</v>
      </c>
      <c r="B3" t="str">
        <f t="shared" ref="B3:B7" si="1">IF(LEFT($A3,1)=B$1,$A3," ")</f>
        <v xml:space="preserve"> </v>
      </c>
      <c r="C3" t="str">
        <f t="shared" si="0"/>
        <v xml:space="preserve"> </v>
      </c>
      <c r="D3" t="str">
        <f t="shared" si="0"/>
        <v xml:space="preserve"> </v>
      </c>
      <c r="E3" t="str">
        <f t="shared" si="0"/>
        <v xml:space="preserve"> </v>
      </c>
      <c r="F3" t="str">
        <f t="shared" si="0"/>
        <v xml:space="preserve"> </v>
      </c>
      <c r="G3" t="str">
        <f t="shared" si="0"/>
        <v xml:space="preserve"> </v>
      </c>
      <c r="H3" t="str">
        <f t="shared" si="0"/>
        <v xml:space="preserve"> </v>
      </c>
      <c r="I3" t="str">
        <f t="shared" si="0"/>
        <v xml:space="preserve"> </v>
      </c>
      <c r="J3" t="str">
        <f t="shared" si="0"/>
        <v xml:space="preserve"> </v>
      </c>
      <c r="K3" t="str">
        <f t="shared" si="0"/>
        <v xml:space="preserve"> </v>
      </c>
      <c r="L3" t="str">
        <f t="shared" si="0"/>
        <v xml:space="preserve"> </v>
      </c>
      <c r="M3" t="str">
        <f t="shared" si="0"/>
        <v xml:space="preserve"> </v>
      </c>
      <c r="N3" t="str">
        <f t="shared" si="0"/>
        <v>MOHAN</v>
      </c>
      <c r="O3" t="str">
        <f t="shared" si="0"/>
        <v xml:space="preserve"> </v>
      </c>
      <c r="P3" t="str">
        <f t="shared" si="0"/>
        <v xml:space="preserve"> </v>
      </c>
      <c r="Q3" t="str">
        <f t="shared" si="0"/>
        <v xml:space="preserve"> </v>
      </c>
      <c r="R3" t="str">
        <f t="shared" si="0"/>
        <v xml:space="preserve"> </v>
      </c>
      <c r="S3" t="str">
        <f t="shared" si="0"/>
        <v xml:space="preserve"> </v>
      </c>
      <c r="T3" t="str">
        <f t="shared" si="0"/>
        <v xml:space="preserve"> </v>
      </c>
      <c r="U3" t="str">
        <f t="shared" si="0"/>
        <v xml:space="preserve"> </v>
      </c>
      <c r="V3" t="str">
        <f t="shared" si="0"/>
        <v xml:space="preserve"> </v>
      </c>
      <c r="W3" t="str">
        <f t="shared" si="0"/>
        <v xml:space="preserve"> </v>
      </c>
      <c r="X3" t="str">
        <f t="shared" si="0"/>
        <v xml:space="preserve"> </v>
      </c>
      <c r="Y3" t="str">
        <f t="shared" si="0"/>
        <v xml:space="preserve"> </v>
      </c>
      <c r="Z3" t="str">
        <f t="shared" si="0"/>
        <v xml:space="preserve"> </v>
      </c>
      <c r="AA3" t="str">
        <f t="shared" si="0"/>
        <v xml:space="preserve"> </v>
      </c>
    </row>
    <row r="4" spans="1:27" x14ac:dyDescent="0.25">
      <c r="A4" t="s">
        <v>63</v>
      </c>
      <c r="B4" t="str">
        <f t="shared" si="1"/>
        <v xml:space="preserve"> </v>
      </c>
      <c r="C4" t="str">
        <f t="shared" si="0"/>
        <v xml:space="preserve"> </v>
      </c>
      <c r="D4" t="str">
        <f t="shared" si="0"/>
        <v xml:space="preserve"> </v>
      </c>
      <c r="E4" t="str">
        <f t="shared" si="0"/>
        <v xml:space="preserve"> </v>
      </c>
      <c r="F4" t="str">
        <f t="shared" si="0"/>
        <v xml:space="preserve"> </v>
      </c>
      <c r="G4" t="str">
        <f t="shared" si="0"/>
        <v xml:space="preserve"> </v>
      </c>
      <c r="H4" t="str">
        <f t="shared" si="0"/>
        <v xml:space="preserve"> </v>
      </c>
      <c r="I4" t="str">
        <f t="shared" si="0"/>
        <v xml:space="preserve"> </v>
      </c>
      <c r="J4" t="str">
        <f t="shared" si="0"/>
        <v xml:space="preserve"> </v>
      </c>
      <c r="K4" t="str">
        <f t="shared" si="0"/>
        <v xml:space="preserve"> </v>
      </c>
      <c r="L4" t="str">
        <f t="shared" si="0"/>
        <v xml:space="preserve"> </v>
      </c>
      <c r="M4" t="str">
        <f t="shared" si="0"/>
        <v xml:space="preserve"> </v>
      </c>
      <c r="N4" t="str">
        <f t="shared" si="0"/>
        <v xml:space="preserve"> </v>
      </c>
      <c r="O4" t="str">
        <f t="shared" si="0"/>
        <v xml:space="preserve"> </v>
      </c>
      <c r="P4" t="str">
        <f t="shared" si="0"/>
        <v xml:space="preserve"> </v>
      </c>
      <c r="Q4" t="str">
        <f t="shared" si="0"/>
        <v xml:space="preserve"> </v>
      </c>
      <c r="R4" t="str">
        <f t="shared" si="0"/>
        <v xml:space="preserve"> </v>
      </c>
      <c r="S4" t="str">
        <f t="shared" si="0"/>
        <v>ROHAN</v>
      </c>
      <c r="T4" t="str">
        <f t="shared" si="0"/>
        <v xml:space="preserve"> </v>
      </c>
      <c r="U4" t="str">
        <f t="shared" si="0"/>
        <v xml:space="preserve"> </v>
      </c>
      <c r="V4" t="str">
        <f t="shared" si="0"/>
        <v xml:space="preserve"> </v>
      </c>
      <c r="W4" t="str">
        <f t="shared" si="0"/>
        <v xml:space="preserve"> </v>
      </c>
      <c r="X4" t="str">
        <f t="shared" si="0"/>
        <v xml:space="preserve"> </v>
      </c>
      <c r="Y4" t="str">
        <f t="shared" si="0"/>
        <v xml:space="preserve"> </v>
      </c>
      <c r="Z4" t="str">
        <f t="shared" si="0"/>
        <v xml:space="preserve"> </v>
      </c>
      <c r="AA4" t="str">
        <f t="shared" si="0"/>
        <v xml:space="preserve"> </v>
      </c>
    </row>
    <row r="5" spans="1:27" x14ac:dyDescent="0.25">
      <c r="A5" t="s">
        <v>64</v>
      </c>
      <c r="B5" t="str">
        <f t="shared" si="1"/>
        <v xml:space="preserve"> </v>
      </c>
      <c r="C5" t="str">
        <f t="shared" si="0"/>
        <v xml:space="preserve"> </v>
      </c>
      <c r="D5" t="str">
        <f t="shared" si="0"/>
        <v xml:space="preserve"> </v>
      </c>
      <c r="E5" t="str">
        <f t="shared" si="0"/>
        <v xml:space="preserve"> </v>
      </c>
      <c r="F5" t="str">
        <f t="shared" si="0"/>
        <v xml:space="preserve"> </v>
      </c>
      <c r="G5" t="str">
        <f t="shared" si="0"/>
        <v xml:space="preserve"> </v>
      </c>
      <c r="H5" t="str">
        <f t="shared" si="0"/>
        <v xml:space="preserve"> </v>
      </c>
      <c r="I5" t="str">
        <f t="shared" si="0"/>
        <v xml:space="preserve"> </v>
      </c>
      <c r="J5" t="str">
        <f t="shared" si="0"/>
        <v xml:space="preserve"> </v>
      </c>
      <c r="K5" t="str">
        <f t="shared" si="0"/>
        <v xml:space="preserve"> </v>
      </c>
      <c r="L5" t="str">
        <f t="shared" si="0"/>
        <v xml:space="preserve"> </v>
      </c>
      <c r="M5" t="str">
        <f t="shared" si="0"/>
        <v xml:space="preserve"> </v>
      </c>
      <c r="N5" t="str">
        <f t="shared" si="0"/>
        <v xml:space="preserve"> </v>
      </c>
      <c r="O5" t="str">
        <f t="shared" si="0"/>
        <v xml:space="preserve"> </v>
      </c>
      <c r="P5" t="str">
        <f t="shared" si="0"/>
        <v xml:space="preserve"> </v>
      </c>
      <c r="Q5" t="str">
        <f t="shared" si="0"/>
        <v xml:space="preserve"> </v>
      </c>
      <c r="R5" t="str">
        <f t="shared" si="0"/>
        <v xml:space="preserve"> </v>
      </c>
      <c r="S5" t="str">
        <f t="shared" si="0"/>
        <v xml:space="preserve"> </v>
      </c>
      <c r="T5" t="str">
        <f t="shared" si="0"/>
        <v>SOHAN</v>
      </c>
      <c r="U5" t="str">
        <f t="shared" si="0"/>
        <v xml:space="preserve"> </v>
      </c>
      <c r="V5" t="str">
        <f t="shared" si="0"/>
        <v xml:space="preserve"> </v>
      </c>
      <c r="W5" t="str">
        <f t="shared" si="0"/>
        <v xml:space="preserve"> </v>
      </c>
      <c r="X5" t="str">
        <f t="shared" si="0"/>
        <v xml:space="preserve"> </v>
      </c>
      <c r="Y5" t="str">
        <f t="shared" si="0"/>
        <v xml:space="preserve"> </v>
      </c>
      <c r="Z5" t="str">
        <f t="shared" si="0"/>
        <v xml:space="preserve"> </v>
      </c>
      <c r="AA5" t="str">
        <f t="shared" si="0"/>
        <v xml:space="preserve"> </v>
      </c>
    </row>
    <row r="6" spans="1:27" x14ac:dyDescent="0.25">
      <c r="A6" t="s">
        <v>47</v>
      </c>
      <c r="B6" t="str">
        <f t="shared" si="1"/>
        <v xml:space="preserve"> </v>
      </c>
      <c r="C6" t="str">
        <f t="shared" si="0"/>
        <v xml:space="preserve"> </v>
      </c>
      <c r="D6" t="str">
        <f t="shared" si="0"/>
        <v xml:space="preserve"> </v>
      </c>
      <c r="E6" t="str">
        <f t="shared" si="0"/>
        <v xml:space="preserve"> </v>
      </c>
      <c r="F6" t="str">
        <f t="shared" si="0"/>
        <v xml:space="preserve"> </v>
      </c>
      <c r="G6" t="str">
        <f t="shared" si="0"/>
        <v xml:space="preserve"> </v>
      </c>
      <c r="H6" t="str">
        <f t="shared" si="0"/>
        <v xml:space="preserve"> </v>
      </c>
      <c r="I6" t="str">
        <f t="shared" si="0"/>
        <v xml:space="preserve"> </v>
      </c>
      <c r="J6" t="str">
        <f t="shared" si="0"/>
        <v xml:space="preserve"> </v>
      </c>
      <c r="K6" t="str">
        <f t="shared" si="0"/>
        <v xml:space="preserve"> </v>
      </c>
      <c r="L6" t="str">
        <f t="shared" si="0"/>
        <v xml:space="preserve"> </v>
      </c>
      <c r="M6" t="str">
        <f t="shared" si="0"/>
        <v xml:space="preserve"> </v>
      </c>
      <c r="N6" t="str">
        <f t="shared" si="0"/>
        <v xml:space="preserve"> </v>
      </c>
      <c r="O6" t="str">
        <f t="shared" si="0"/>
        <v xml:space="preserve"> </v>
      </c>
      <c r="P6" t="str">
        <f t="shared" si="0"/>
        <v xml:space="preserve"> </v>
      </c>
      <c r="Q6" t="str">
        <f t="shared" si="0"/>
        <v xml:space="preserve"> </v>
      </c>
      <c r="R6" t="str">
        <f t="shared" si="0"/>
        <v xml:space="preserve"> </v>
      </c>
      <c r="S6" t="str">
        <f t="shared" si="0"/>
        <v>RAM</v>
      </c>
      <c r="T6" t="str">
        <f t="shared" si="0"/>
        <v xml:space="preserve"> </v>
      </c>
      <c r="U6" t="str">
        <f t="shared" si="0"/>
        <v xml:space="preserve"> </v>
      </c>
      <c r="V6" t="str">
        <f t="shared" si="0"/>
        <v xml:space="preserve"> </v>
      </c>
      <c r="W6" t="str">
        <f t="shared" si="0"/>
        <v xml:space="preserve"> </v>
      </c>
      <c r="X6" t="str">
        <f t="shared" si="0"/>
        <v xml:space="preserve"> </v>
      </c>
      <c r="Y6" t="str">
        <f t="shared" si="0"/>
        <v xml:space="preserve"> </v>
      </c>
      <c r="Z6" t="str">
        <f t="shared" si="0"/>
        <v xml:space="preserve"> </v>
      </c>
      <c r="AA6" t="str">
        <f t="shared" si="0"/>
        <v xml:space="preserve"> </v>
      </c>
    </row>
    <row r="7" spans="1:27" x14ac:dyDescent="0.25">
      <c r="A7" t="s">
        <v>112</v>
      </c>
      <c r="B7" t="str">
        <f t="shared" si="1"/>
        <v xml:space="preserve"> </v>
      </c>
      <c r="C7" t="str">
        <f t="shared" si="0"/>
        <v xml:space="preserve"> </v>
      </c>
      <c r="D7" t="str">
        <f t="shared" si="0"/>
        <v xml:space="preserve"> </v>
      </c>
      <c r="E7" t="str">
        <f t="shared" si="0"/>
        <v>DINESH</v>
      </c>
      <c r="F7" t="str">
        <f t="shared" si="0"/>
        <v xml:space="preserve"> </v>
      </c>
      <c r="G7" t="str">
        <f t="shared" si="0"/>
        <v xml:space="preserve"> </v>
      </c>
      <c r="H7" t="str">
        <f t="shared" si="0"/>
        <v xml:space="preserve"> </v>
      </c>
      <c r="I7" t="str">
        <f t="shared" si="0"/>
        <v xml:space="preserve"> </v>
      </c>
      <c r="J7" t="str">
        <f t="shared" si="0"/>
        <v xml:space="preserve"> </v>
      </c>
      <c r="K7" t="str">
        <f t="shared" si="0"/>
        <v xml:space="preserve"> </v>
      </c>
      <c r="L7" t="str">
        <f t="shared" si="0"/>
        <v xml:space="preserve"> </v>
      </c>
      <c r="M7" t="str">
        <f t="shared" si="0"/>
        <v xml:space="preserve"> </v>
      </c>
      <c r="N7" t="str">
        <f t="shared" si="0"/>
        <v xml:space="preserve"> </v>
      </c>
      <c r="O7" t="str">
        <f t="shared" si="0"/>
        <v xml:space="preserve"> </v>
      </c>
      <c r="P7" t="str">
        <f t="shared" si="0"/>
        <v xml:space="preserve"> </v>
      </c>
      <c r="Q7" t="str">
        <f t="shared" si="0"/>
        <v xml:space="preserve"> </v>
      </c>
      <c r="R7" t="str">
        <f t="shared" si="0"/>
        <v xml:space="preserve"> </v>
      </c>
      <c r="S7" t="str">
        <f t="shared" si="0"/>
        <v xml:space="preserve"> </v>
      </c>
      <c r="T7" t="str">
        <f t="shared" si="0"/>
        <v xml:space="preserve"> </v>
      </c>
      <c r="U7" t="str">
        <f t="shared" si="0"/>
        <v xml:space="preserve"> </v>
      </c>
      <c r="V7" t="str">
        <f t="shared" si="0"/>
        <v xml:space="preserve"> </v>
      </c>
      <c r="W7" t="str">
        <f t="shared" si="0"/>
        <v xml:space="preserve"> </v>
      </c>
      <c r="X7" t="str">
        <f t="shared" si="0"/>
        <v xml:space="preserve"> </v>
      </c>
      <c r="Y7" t="str">
        <f t="shared" si="0"/>
        <v xml:space="preserve"> </v>
      </c>
      <c r="Z7" t="str">
        <f t="shared" si="0"/>
        <v xml:space="preserve"> </v>
      </c>
      <c r="AA7" t="str">
        <f t="shared" si="0"/>
        <v xml:space="preserve"> </v>
      </c>
    </row>
    <row r="8" spans="1:27" x14ac:dyDescent="0.25">
      <c r="B8" t="str">
        <f t="shared" ref="B8:B9" si="2">IF(LEFT($A$2,1)=B$1,$A$2," ")</f>
        <v xml:space="preserve"> </v>
      </c>
      <c r="C8" t="str">
        <f t="shared" ref="C8:AA8" si="3">IF(LEFT(B$2,1)=$A$2,$A$2," ")</f>
        <v xml:space="preserve"> </v>
      </c>
      <c r="D8" t="str">
        <f t="shared" si="3"/>
        <v xml:space="preserve"> </v>
      </c>
      <c r="E8" t="str">
        <f t="shared" si="3"/>
        <v xml:space="preserve"> </v>
      </c>
      <c r="F8" t="str">
        <f t="shared" si="3"/>
        <v xml:space="preserve"> </v>
      </c>
      <c r="G8" t="str">
        <f t="shared" si="3"/>
        <v xml:space="preserve"> </v>
      </c>
      <c r="H8" t="str">
        <f t="shared" si="3"/>
        <v xml:space="preserve"> </v>
      </c>
      <c r="I8" t="str">
        <f t="shared" si="3"/>
        <v xml:space="preserve"> </v>
      </c>
      <c r="J8" t="str">
        <f t="shared" si="3"/>
        <v xml:space="preserve"> </v>
      </c>
      <c r="K8" t="str">
        <f t="shared" si="3"/>
        <v xml:space="preserve"> </v>
      </c>
      <c r="L8" t="str">
        <f t="shared" si="3"/>
        <v xml:space="preserve"> </v>
      </c>
      <c r="M8" t="str">
        <f t="shared" si="3"/>
        <v xml:space="preserve"> </v>
      </c>
      <c r="N8" t="str">
        <f t="shared" si="3"/>
        <v xml:space="preserve"> </v>
      </c>
      <c r="O8" t="str">
        <f t="shared" si="3"/>
        <v xml:space="preserve"> </v>
      </c>
      <c r="P8" t="str">
        <f t="shared" si="3"/>
        <v xml:space="preserve"> </v>
      </c>
      <c r="Q8" t="str">
        <f t="shared" si="3"/>
        <v xml:space="preserve"> </v>
      </c>
      <c r="R8" t="str">
        <f t="shared" si="3"/>
        <v xml:space="preserve"> </v>
      </c>
      <c r="S8" t="str">
        <f t="shared" si="3"/>
        <v xml:space="preserve"> </v>
      </c>
      <c r="T8" t="str">
        <f t="shared" si="3"/>
        <v xml:space="preserve"> </v>
      </c>
      <c r="U8" t="str">
        <f t="shared" si="3"/>
        <v xml:space="preserve"> </v>
      </c>
      <c r="V8" t="str">
        <f t="shared" si="3"/>
        <v xml:space="preserve"> </v>
      </c>
      <c r="W8" t="str">
        <f t="shared" si="3"/>
        <v xml:space="preserve"> </v>
      </c>
      <c r="X8" t="str">
        <f t="shared" si="3"/>
        <v xml:space="preserve"> </v>
      </c>
      <c r="Y8" t="str">
        <f t="shared" si="3"/>
        <v xml:space="preserve"> </v>
      </c>
      <c r="Z8" t="str">
        <f t="shared" si="3"/>
        <v xml:space="preserve"> </v>
      </c>
      <c r="AA8" t="str">
        <f t="shared" si="3"/>
        <v xml:space="preserve"> </v>
      </c>
    </row>
    <row r="9" spans="1:27" x14ac:dyDescent="0.25">
      <c r="B9" t="str">
        <f t="shared" si="2"/>
        <v xml:space="preserve"> </v>
      </c>
      <c r="C9" t="str">
        <f t="shared" ref="C9:AA9" si="4">IF(LEFT(B$2,1)=$A$2,$A$2," ")</f>
        <v xml:space="preserve"> </v>
      </c>
      <c r="D9" t="str">
        <f t="shared" si="4"/>
        <v xml:space="preserve"> </v>
      </c>
      <c r="E9" t="str">
        <f t="shared" si="4"/>
        <v xml:space="preserve"> </v>
      </c>
      <c r="F9" t="str">
        <f t="shared" si="4"/>
        <v xml:space="preserve"> </v>
      </c>
      <c r="G9" t="str">
        <f t="shared" si="4"/>
        <v xml:space="preserve"> </v>
      </c>
      <c r="H9" t="str">
        <f t="shared" si="4"/>
        <v xml:space="preserve"> </v>
      </c>
      <c r="I9" t="str">
        <f t="shared" si="4"/>
        <v xml:space="preserve"> </v>
      </c>
      <c r="J9" t="str">
        <f t="shared" si="4"/>
        <v xml:space="preserve"> </v>
      </c>
      <c r="K9" t="str">
        <f t="shared" si="4"/>
        <v xml:space="preserve"> </v>
      </c>
      <c r="L9" t="str">
        <f t="shared" si="4"/>
        <v xml:space="preserve"> </v>
      </c>
      <c r="M9" t="str">
        <f t="shared" si="4"/>
        <v xml:space="preserve"> </v>
      </c>
      <c r="N9" t="str">
        <f t="shared" si="4"/>
        <v xml:space="preserve"> </v>
      </c>
      <c r="O9" t="str">
        <f t="shared" si="4"/>
        <v xml:space="preserve"> </v>
      </c>
      <c r="P9" t="str">
        <f t="shared" si="4"/>
        <v xml:space="preserve"> </v>
      </c>
      <c r="Q9" t="str">
        <f t="shared" si="4"/>
        <v xml:space="preserve"> </v>
      </c>
      <c r="R9" t="str">
        <f t="shared" si="4"/>
        <v xml:space="preserve"> </v>
      </c>
      <c r="S9" t="str">
        <f t="shared" si="4"/>
        <v xml:space="preserve"> </v>
      </c>
      <c r="T9" t="str">
        <f t="shared" si="4"/>
        <v xml:space="preserve"> </v>
      </c>
      <c r="U9" t="str">
        <f t="shared" si="4"/>
        <v xml:space="preserve"> </v>
      </c>
      <c r="V9" t="str">
        <f t="shared" si="4"/>
        <v xml:space="preserve"> </v>
      </c>
      <c r="W9" t="str">
        <f t="shared" si="4"/>
        <v xml:space="preserve"> </v>
      </c>
      <c r="X9" t="str">
        <f t="shared" si="4"/>
        <v xml:space="preserve"> </v>
      </c>
      <c r="Y9" t="str">
        <f t="shared" si="4"/>
        <v xml:space="preserve"> </v>
      </c>
      <c r="Z9" t="str">
        <f t="shared" si="4"/>
        <v xml:space="preserve"> </v>
      </c>
      <c r="AA9" t="str">
        <f t="shared" si="4"/>
        <v xml:space="preserve"> </v>
      </c>
    </row>
    <row r="13" spans="1:27" x14ac:dyDescent="0.25">
      <c r="G13" t="s">
        <v>288</v>
      </c>
    </row>
    <row r="14" spans="1:27" x14ac:dyDescent="0.25">
      <c r="D14" t="s">
        <v>260</v>
      </c>
    </row>
    <row r="15" spans="1:27" x14ac:dyDescent="0.25">
      <c r="D15" t="s">
        <v>287</v>
      </c>
    </row>
    <row r="16" spans="1:27" x14ac:dyDescent="0.25">
      <c r="D16" t="s">
        <v>287</v>
      </c>
      <c r="F16" t="s">
        <v>260</v>
      </c>
      <c r="G16">
        <f>SUMPRODUCT(EXACT(D14:D20,"A")*1)</f>
        <v>4</v>
      </c>
    </row>
    <row r="17" spans="1:27" x14ac:dyDescent="0.25">
      <c r="D17" t="s">
        <v>260</v>
      </c>
      <c r="F17" t="s">
        <v>287</v>
      </c>
    </row>
    <row r="18" spans="1:27" x14ac:dyDescent="0.25">
      <c r="D18" t="s">
        <v>260</v>
      </c>
    </row>
    <row r="19" spans="1:27" x14ac:dyDescent="0.25">
      <c r="D19" t="s">
        <v>260</v>
      </c>
    </row>
    <row r="20" spans="1:27" x14ac:dyDescent="0.25">
      <c r="D20" t="s">
        <v>287</v>
      </c>
    </row>
    <row r="22" spans="1:27" x14ac:dyDescent="0.25">
      <c r="B22" t="s">
        <v>260</v>
      </c>
      <c r="C22" t="s">
        <v>261</v>
      </c>
      <c r="D22" t="s">
        <v>262</v>
      </c>
      <c r="E22" t="s">
        <v>263</v>
      </c>
      <c r="F22" t="s">
        <v>264</v>
      </c>
      <c r="G22" t="s">
        <v>265</v>
      </c>
      <c r="H22" t="s">
        <v>266</v>
      </c>
      <c r="I22" t="s">
        <v>267</v>
      </c>
      <c r="J22" t="s">
        <v>268</v>
      </c>
      <c r="K22" t="s">
        <v>269</v>
      </c>
      <c r="L22" t="s">
        <v>270</v>
      </c>
      <c r="M22" t="s">
        <v>271</v>
      </c>
      <c r="N22" t="s">
        <v>272</v>
      </c>
      <c r="O22" t="s">
        <v>273</v>
      </c>
      <c r="P22" t="s">
        <v>274</v>
      </c>
      <c r="Q22" t="s">
        <v>275</v>
      </c>
      <c r="R22" t="s">
        <v>276</v>
      </c>
      <c r="S22" t="s">
        <v>277</v>
      </c>
      <c r="T22" t="s">
        <v>278</v>
      </c>
      <c r="U22" t="s">
        <v>279</v>
      </c>
      <c r="V22" t="s">
        <v>280</v>
      </c>
      <c r="W22" t="s">
        <v>281</v>
      </c>
      <c r="X22" t="s">
        <v>282</v>
      </c>
      <c r="Y22" t="s">
        <v>283</v>
      </c>
      <c r="Z22" t="s">
        <v>284</v>
      </c>
      <c r="AA22" t="s">
        <v>285</v>
      </c>
    </row>
    <row r="23" spans="1:27" x14ac:dyDescent="0.25">
      <c r="A23" t="s">
        <v>286</v>
      </c>
      <c r="B23" t="str">
        <f>IFERROR(MID($A23,SEARCH(B$22,$A23),1)," ")</f>
        <v xml:space="preserve"> </v>
      </c>
      <c r="C23" t="str">
        <f>IFERROR(MID($A23,SEARCH(C$22,$A23),1)," ")</f>
        <v>B</v>
      </c>
      <c r="D23" t="str">
        <f t="shared" ref="C23:AA28" si="5">IFERROR(MID($A23,SEARCH(D$22,$A23),1)," ")</f>
        <v xml:space="preserve"> </v>
      </c>
      <c r="E23" t="str">
        <f t="shared" si="5"/>
        <v xml:space="preserve"> </v>
      </c>
      <c r="F23" t="str">
        <f t="shared" si="5"/>
        <v xml:space="preserve"> </v>
      </c>
      <c r="G23" t="str">
        <f t="shared" si="5"/>
        <v xml:space="preserve"> </v>
      </c>
      <c r="H23" t="str">
        <f t="shared" si="5"/>
        <v xml:space="preserve"> </v>
      </c>
      <c r="I23" t="str">
        <f t="shared" si="5"/>
        <v xml:space="preserve"> </v>
      </c>
      <c r="J23" t="str">
        <f t="shared" si="5"/>
        <v>I</v>
      </c>
      <c r="K23" t="str">
        <f t="shared" si="5"/>
        <v xml:space="preserve"> </v>
      </c>
      <c r="L23" t="str">
        <f t="shared" si="5"/>
        <v xml:space="preserve"> </v>
      </c>
      <c r="M23" t="str">
        <f t="shared" si="5"/>
        <v xml:space="preserve"> </v>
      </c>
      <c r="N23" t="str">
        <f t="shared" si="5"/>
        <v xml:space="preserve"> </v>
      </c>
      <c r="O23" t="str">
        <f t="shared" si="5"/>
        <v xml:space="preserve"> </v>
      </c>
      <c r="P23" t="str">
        <f t="shared" si="5"/>
        <v xml:space="preserve"> </v>
      </c>
      <c r="Q23" t="str">
        <f t="shared" si="5"/>
        <v xml:space="preserve"> </v>
      </c>
      <c r="R23" t="str">
        <f t="shared" si="5"/>
        <v xml:space="preserve"> </v>
      </c>
      <c r="S23" t="str">
        <f t="shared" si="5"/>
        <v xml:space="preserve"> </v>
      </c>
      <c r="T23" t="str">
        <f t="shared" si="5"/>
        <v xml:space="preserve"> </v>
      </c>
      <c r="U23" t="str">
        <f t="shared" si="5"/>
        <v>T</v>
      </c>
      <c r="V23" t="str">
        <f t="shared" si="5"/>
        <v>U</v>
      </c>
      <c r="W23" t="str">
        <f t="shared" si="5"/>
        <v xml:space="preserve"> </v>
      </c>
      <c r="X23" t="str">
        <f t="shared" si="5"/>
        <v xml:space="preserve"> </v>
      </c>
      <c r="Y23" t="str">
        <f t="shared" si="5"/>
        <v xml:space="preserve"> </v>
      </c>
      <c r="Z23" t="str">
        <f t="shared" si="5"/>
        <v xml:space="preserve"> </v>
      </c>
      <c r="AA23" t="str">
        <f t="shared" si="5"/>
        <v xml:space="preserve"> </v>
      </c>
    </row>
    <row r="24" spans="1:27" x14ac:dyDescent="0.25">
      <c r="A24" t="s">
        <v>187</v>
      </c>
      <c r="B24" t="str">
        <f t="shared" ref="B24:B28" si="6">IFERROR(MID($A24,SEARCH(B$22,$A24),1)," ")</f>
        <v>A</v>
      </c>
      <c r="C24" t="str">
        <f t="shared" si="5"/>
        <v xml:space="preserve"> </v>
      </c>
      <c r="D24" t="str">
        <f t="shared" si="5"/>
        <v xml:space="preserve"> </v>
      </c>
      <c r="E24" t="str">
        <f t="shared" si="5"/>
        <v xml:space="preserve"> </v>
      </c>
      <c r="F24" t="str">
        <f t="shared" si="5"/>
        <v xml:space="preserve"> </v>
      </c>
      <c r="G24" t="str">
        <f t="shared" si="5"/>
        <v xml:space="preserve"> </v>
      </c>
      <c r="H24" t="str">
        <f t="shared" si="5"/>
        <v xml:space="preserve"> </v>
      </c>
      <c r="I24" t="str">
        <f t="shared" si="5"/>
        <v>H</v>
      </c>
      <c r="J24" t="str">
        <f t="shared" si="5"/>
        <v xml:space="preserve"> </v>
      </c>
      <c r="K24" t="str">
        <f t="shared" si="5"/>
        <v xml:space="preserve"> </v>
      </c>
      <c r="L24" t="str">
        <f t="shared" si="5"/>
        <v xml:space="preserve"> </v>
      </c>
      <c r="M24" t="str">
        <f t="shared" si="5"/>
        <v xml:space="preserve"> </v>
      </c>
      <c r="N24" t="str">
        <f t="shared" si="5"/>
        <v>M</v>
      </c>
      <c r="O24" t="str">
        <f t="shared" si="5"/>
        <v>N</v>
      </c>
      <c r="P24" t="str">
        <f t="shared" si="5"/>
        <v>O</v>
      </c>
      <c r="Q24" t="str">
        <f t="shared" si="5"/>
        <v xml:space="preserve"> </v>
      </c>
      <c r="R24" t="str">
        <f t="shared" si="5"/>
        <v xml:space="preserve"> </v>
      </c>
      <c r="S24" t="str">
        <f t="shared" si="5"/>
        <v xml:space="preserve"> </v>
      </c>
      <c r="T24" t="str">
        <f t="shared" si="5"/>
        <v xml:space="preserve"> </v>
      </c>
      <c r="U24" t="str">
        <f t="shared" si="5"/>
        <v xml:space="preserve"> </v>
      </c>
      <c r="V24" t="str">
        <f t="shared" si="5"/>
        <v xml:space="preserve"> </v>
      </c>
      <c r="W24" t="str">
        <f t="shared" si="5"/>
        <v xml:space="preserve"> </v>
      </c>
      <c r="X24" t="str">
        <f t="shared" si="5"/>
        <v xml:space="preserve"> </v>
      </c>
      <c r="Y24" t="str">
        <f t="shared" si="5"/>
        <v xml:space="preserve"> </v>
      </c>
      <c r="Z24" t="str">
        <f t="shared" si="5"/>
        <v xml:space="preserve"> </v>
      </c>
      <c r="AA24" t="str">
        <f t="shared" si="5"/>
        <v xml:space="preserve"> </v>
      </c>
    </row>
    <row r="25" spans="1:27" x14ac:dyDescent="0.25">
      <c r="A25" t="s">
        <v>63</v>
      </c>
      <c r="B25" t="str">
        <f t="shared" si="6"/>
        <v>A</v>
      </c>
      <c r="C25" t="str">
        <f t="shared" si="5"/>
        <v xml:space="preserve"> </v>
      </c>
      <c r="D25" t="str">
        <f t="shared" si="5"/>
        <v xml:space="preserve"> </v>
      </c>
      <c r="E25" t="str">
        <f t="shared" si="5"/>
        <v xml:space="preserve"> </v>
      </c>
      <c r="F25" t="str">
        <f t="shared" si="5"/>
        <v xml:space="preserve"> </v>
      </c>
      <c r="G25" t="str">
        <f t="shared" si="5"/>
        <v xml:space="preserve"> </v>
      </c>
      <c r="H25" t="str">
        <f t="shared" si="5"/>
        <v xml:space="preserve"> </v>
      </c>
      <c r="I25" t="str">
        <f t="shared" si="5"/>
        <v>H</v>
      </c>
      <c r="J25" t="str">
        <f t="shared" si="5"/>
        <v xml:space="preserve"> </v>
      </c>
      <c r="K25" t="str">
        <f t="shared" si="5"/>
        <v xml:space="preserve"> </v>
      </c>
      <c r="L25" t="str">
        <f t="shared" si="5"/>
        <v xml:space="preserve"> </v>
      </c>
      <c r="M25" t="str">
        <f t="shared" si="5"/>
        <v xml:space="preserve"> </v>
      </c>
      <c r="N25" t="str">
        <f t="shared" si="5"/>
        <v xml:space="preserve"> </v>
      </c>
      <c r="O25" t="str">
        <f t="shared" si="5"/>
        <v>N</v>
      </c>
      <c r="P25" t="str">
        <f t="shared" si="5"/>
        <v>O</v>
      </c>
      <c r="Q25" t="str">
        <f t="shared" si="5"/>
        <v xml:space="preserve"> </v>
      </c>
      <c r="R25" t="str">
        <f t="shared" si="5"/>
        <v xml:space="preserve"> </v>
      </c>
      <c r="S25" t="str">
        <f t="shared" si="5"/>
        <v>R</v>
      </c>
      <c r="T25" t="str">
        <f t="shared" si="5"/>
        <v xml:space="preserve"> </v>
      </c>
      <c r="U25" t="str">
        <f t="shared" si="5"/>
        <v xml:space="preserve"> </v>
      </c>
      <c r="V25" t="str">
        <f t="shared" si="5"/>
        <v xml:space="preserve"> </v>
      </c>
      <c r="W25" t="str">
        <f t="shared" si="5"/>
        <v xml:space="preserve"> </v>
      </c>
      <c r="X25" t="str">
        <f t="shared" si="5"/>
        <v xml:space="preserve"> </v>
      </c>
      <c r="Y25" t="str">
        <f t="shared" si="5"/>
        <v xml:space="preserve"> </v>
      </c>
      <c r="Z25" t="str">
        <f t="shared" si="5"/>
        <v xml:space="preserve"> </v>
      </c>
      <c r="AA25" t="str">
        <f t="shared" si="5"/>
        <v xml:space="preserve"> </v>
      </c>
    </row>
    <row r="26" spans="1:27" x14ac:dyDescent="0.25">
      <c r="A26" t="s">
        <v>64</v>
      </c>
      <c r="B26" t="str">
        <f t="shared" si="6"/>
        <v>A</v>
      </c>
      <c r="C26" t="str">
        <f t="shared" si="5"/>
        <v xml:space="preserve"> </v>
      </c>
      <c r="D26" t="str">
        <f t="shared" si="5"/>
        <v xml:space="preserve"> </v>
      </c>
      <c r="E26" t="str">
        <f t="shared" si="5"/>
        <v xml:space="preserve"> </v>
      </c>
      <c r="F26" t="str">
        <f t="shared" si="5"/>
        <v xml:space="preserve"> </v>
      </c>
      <c r="G26" t="str">
        <f t="shared" si="5"/>
        <v xml:space="preserve"> </v>
      </c>
      <c r="H26" t="str">
        <f t="shared" si="5"/>
        <v xml:space="preserve"> </v>
      </c>
      <c r="I26" t="str">
        <f t="shared" si="5"/>
        <v>H</v>
      </c>
      <c r="J26" t="str">
        <f t="shared" si="5"/>
        <v xml:space="preserve"> </v>
      </c>
      <c r="K26" t="str">
        <f t="shared" si="5"/>
        <v xml:space="preserve"> </v>
      </c>
      <c r="L26" t="str">
        <f t="shared" si="5"/>
        <v xml:space="preserve"> </v>
      </c>
      <c r="M26" t="str">
        <f t="shared" si="5"/>
        <v xml:space="preserve"> </v>
      </c>
      <c r="N26" t="str">
        <f t="shared" si="5"/>
        <v xml:space="preserve"> </v>
      </c>
      <c r="O26" t="str">
        <f t="shared" si="5"/>
        <v>N</v>
      </c>
      <c r="P26" t="str">
        <f t="shared" si="5"/>
        <v>O</v>
      </c>
      <c r="Q26" t="str">
        <f t="shared" si="5"/>
        <v xml:space="preserve"> </v>
      </c>
      <c r="R26" t="str">
        <f t="shared" si="5"/>
        <v xml:space="preserve"> </v>
      </c>
      <c r="S26" t="str">
        <f t="shared" si="5"/>
        <v xml:space="preserve"> </v>
      </c>
      <c r="T26" t="str">
        <f t="shared" si="5"/>
        <v>S</v>
      </c>
      <c r="U26" t="str">
        <f t="shared" si="5"/>
        <v xml:space="preserve"> </v>
      </c>
      <c r="V26" t="str">
        <f t="shared" si="5"/>
        <v xml:space="preserve"> </v>
      </c>
      <c r="W26" t="str">
        <f t="shared" si="5"/>
        <v xml:space="preserve"> </v>
      </c>
      <c r="X26" t="str">
        <f t="shared" si="5"/>
        <v xml:space="preserve"> </v>
      </c>
      <c r="Y26" t="str">
        <f t="shared" si="5"/>
        <v xml:space="preserve"> </v>
      </c>
      <c r="Z26" t="str">
        <f t="shared" si="5"/>
        <v xml:space="preserve"> </v>
      </c>
      <c r="AA26" t="str">
        <f t="shared" si="5"/>
        <v xml:space="preserve"> </v>
      </c>
    </row>
    <row r="27" spans="1:27" x14ac:dyDescent="0.25">
      <c r="A27" t="s">
        <v>47</v>
      </c>
      <c r="B27" t="str">
        <f t="shared" si="6"/>
        <v>A</v>
      </c>
      <c r="C27" t="str">
        <f t="shared" si="5"/>
        <v xml:space="preserve"> </v>
      </c>
      <c r="D27" t="str">
        <f t="shared" si="5"/>
        <v xml:space="preserve"> </v>
      </c>
      <c r="E27" t="str">
        <f t="shared" si="5"/>
        <v xml:space="preserve"> </v>
      </c>
      <c r="F27" t="str">
        <f t="shared" si="5"/>
        <v xml:space="preserve"> </v>
      </c>
      <c r="G27" t="str">
        <f t="shared" si="5"/>
        <v xml:space="preserve"> </v>
      </c>
      <c r="H27" t="str">
        <f t="shared" si="5"/>
        <v xml:space="preserve"> </v>
      </c>
      <c r="I27" t="str">
        <f t="shared" si="5"/>
        <v xml:space="preserve"> </v>
      </c>
      <c r="J27" t="str">
        <f t="shared" si="5"/>
        <v xml:space="preserve"> </v>
      </c>
      <c r="K27" t="str">
        <f t="shared" si="5"/>
        <v xml:space="preserve"> </v>
      </c>
      <c r="L27" t="str">
        <f t="shared" si="5"/>
        <v xml:space="preserve"> </v>
      </c>
      <c r="M27" t="str">
        <f t="shared" si="5"/>
        <v xml:space="preserve"> </v>
      </c>
      <c r="N27" t="str">
        <f t="shared" si="5"/>
        <v>M</v>
      </c>
      <c r="O27" t="str">
        <f t="shared" si="5"/>
        <v xml:space="preserve"> </v>
      </c>
      <c r="P27" t="str">
        <f t="shared" si="5"/>
        <v xml:space="preserve"> </v>
      </c>
      <c r="Q27" t="str">
        <f t="shared" si="5"/>
        <v xml:space="preserve"> </v>
      </c>
      <c r="R27" t="str">
        <f t="shared" si="5"/>
        <v xml:space="preserve"> </v>
      </c>
      <c r="S27" t="str">
        <f t="shared" si="5"/>
        <v>R</v>
      </c>
      <c r="T27" t="str">
        <f t="shared" si="5"/>
        <v xml:space="preserve"> </v>
      </c>
      <c r="U27" t="str">
        <f t="shared" si="5"/>
        <v xml:space="preserve"> </v>
      </c>
      <c r="V27" t="str">
        <f t="shared" si="5"/>
        <v xml:space="preserve"> </v>
      </c>
      <c r="W27" t="str">
        <f t="shared" si="5"/>
        <v xml:space="preserve"> </v>
      </c>
      <c r="X27" t="str">
        <f t="shared" si="5"/>
        <v xml:space="preserve"> </v>
      </c>
      <c r="Y27" t="str">
        <f t="shared" si="5"/>
        <v xml:space="preserve"> </v>
      </c>
      <c r="Z27" t="str">
        <f t="shared" si="5"/>
        <v xml:space="preserve"> </v>
      </c>
      <c r="AA27" t="str">
        <f t="shared" si="5"/>
        <v xml:space="preserve"> </v>
      </c>
    </row>
    <row r="28" spans="1:27" x14ac:dyDescent="0.25">
      <c r="A28" t="s">
        <v>112</v>
      </c>
      <c r="B28" t="str">
        <f t="shared" si="6"/>
        <v xml:space="preserve"> </v>
      </c>
      <c r="C28" t="str">
        <f t="shared" si="5"/>
        <v xml:space="preserve"> </v>
      </c>
      <c r="D28" t="str">
        <f t="shared" si="5"/>
        <v xml:space="preserve"> </v>
      </c>
      <c r="E28" t="str">
        <f t="shared" si="5"/>
        <v>D</v>
      </c>
      <c r="F28" t="str">
        <f t="shared" si="5"/>
        <v>E</v>
      </c>
      <c r="G28" t="str">
        <f t="shared" si="5"/>
        <v xml:space="preserve"> </v>
      </c>
      <c r="H28" t="str">
        <f t="shared" si="5"/>
        <v xml:space="preserve"> </v>
      </c>
      <c r="I28" t="str">
        <f t="shared" si="5"/>
        <v>H</v>
      </c>
      <c r="J28" t="str">
        <f t="shared" si="5"/>
        <v>I</v>
      </c>
      <c r="K28" t="str">
        <f t="shared" si="5"/>
        <v xml:space="preserve"> </v>
      </c>
      <c r="L28" t="str">
        <f t="shared" si="5"/>
        <v xml:space="preserve"> </v>
      </c>
      <c r="M28" t="str">
        <f t="shared" si="5"/>
        <v xml:space="preserve"> </v>
      </c>
      <c r="N28" t="str">
        <f t="shared" si="5"/>
        <v xml:space="preserve"> </v>
      </c>
      <c r="O28" t="str">
        <f t="shared" si="5"/>
        <v>N</v>
      </c>
      <c r="P28" t="str">
        <f t="shared" si="5"/>
        <v xml:space="preserve"> </v>
      </c>
      <c r="Q28" t="str">
        <f t="shared" si="5"/>
        <v xml:space="preserve"> </v>
      </c>
      <c r="R28" t="str">
        <f t="shared" si="5"/>
        <v xml:space="preserve"> </v>
      </c>
      <c r="S28" t="str">
        <f t="shared" si="5"/>
        <v xml:space="preserve"> </v>
      </c>
      <c r="T28" t="str">
        <f t="shared" si="5"/>
        <v>S</v>
      </c>
      <c r="U28" t="str">
        <f t="shared" si="5"/>
        <v xml:space="preserve"> </v>
      </c>
      <c r="V28" t="str">
        <f t="shared" si="5"/>
        <v xml:space="preserve"> </v>
      </c>
      <c r="W28" t="str">
        <f t="shared" si="5"/>
        <v xml:space="preserve"> </v>
      </c>
      <c r="X28" t="str">
        <f t="shared" si="5"/>
        <v xml:space="preserve"> </v>
      </c>
      <c r="Y28" t="str">
        <f t="shared" si="5"/>
        <v xml:space="preserve"> </v>
      </c>
      <c r="Z28" t="str">
        <f t="shared" si="5"/>
        <v xml:space="preserve"> </v>
      </c>
      <c r="AA28" t="str">
        <f t="shared" si="5"/>
        <v xml:space="preserve"> </v>
      </c>
    </row>
    <row r="31" spans="1:27" x14ac:dyDescent="0.25">
      <c r="F31" t="s">
        <v>289</v>
      </c>
      <c r="G31" t="s">
        <v>290</v>
      </c>
      <c r="H31" t="s">
        <v>291</v>
      </c>
      <c r="I31" t="s">
        <v>292</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46E99-5AA1-4FAC-9957-7A26D83CF26D}">
  <sheetPr codeName="Sheet31"/>
  <dimension ref="A1:M7"/>
  <sheetViews>
    <sheetView workbookViewId="0">
      <selection activeCell="M28" sqref="M28"/>
    </sheetView>
  </sheetViews>
  <sheetFormatPr defaultRowHeight="15" x14ac:dyDescent="0.25"/>
  <cols>
    <col min="6" max="7" width="11.28515625" bestFit="1" customWidth="1"/>
    <col min="9" max="9" width="11" bestFit="1" customWidth="1"/>
  </cols>
  <sheetData>
    <row r="1" spans="1:13" x14ac:dyDescent="0.25">
      <c r="A1" t="s">
        <v>0</v>
      </c>
      <c r="B1" t="s">
        <v>293</v>
      </c>
      <c r="C1" t="s">
        <v>297</v>
      </c>
      <c r="D1" t="s">
        <v>298</v>
      </c>
      <c r="E1" t="s">
        <v>299</v>
      </c>
      <c r="F1" t="s">
        <v>300</v>
      </c>
      <c r="G1" t="s">
        <v>301</v>
      </c>
      <c r="H1" t="s">
        <v>302</v>
      </c>
      <c r="I1" t="s">
        <v>303</v>
      </c>
      <c r="J1" t="s">
        <v>304</v>
      </c>
      <c r="K1" t="s">
        <v>305</v>
      </c>
      <c r="L1" t="s">
        <v>306</v>
      </c>
      <c r="M1" t="s">
        <v>307</v>
      </c>
    </row>
    <row r="2" spans="1:13" x14ac:dyDescent="0.25">
      <c r="A2" t="s">
        <v>244</v>
      </c>
      <c r="B2" t="b">
        <f>ISBLANK(A2)</f>
        <v>0</v>
      </c>
      <c r="C2" t="b">
        <f>ISERR(A2)</f>
        <v>0</v>
      </c>
      <c r="D2" t="b">
        <f>ISERROR(A2)</f>
        <v>0</v>
      </c>
      <c r="E2" t="b">
        <f>ISEVEN(A3)</f>
        <v>0</v>
      </c>
      <c r="F2" t="b">
        <f>_xlfn.ISFORMULA(E2)</f>
        <v>1</v>
      </c>
      <c r="G2" t="b">
        <f>ISLOGICAL(F2)</f>
        <v>1</v>
      </c>
      <c r="H2" t="b">
        <f>ISNA(G2)</f>
        <v>0</v>
      </c>
      <c r="I2" t="b">
        <f>ISNONTEXT(A3)</f>
        <v>1</v>
      </c>
      <c r="J2" t="b">
        <f>ISNUMBER(A2)</f>
        <v>0</v>
      </c>
      <c r="K2" t="e">
        <f>ISODD(A4)</f>
        <v>#VALUE!</v>
      </c>
      <c r="L2" t="b">
        <f>ISREF(A3)</f>
        <v>1</v>
      </c>
      <c r="M2" t="b">
        <f>ISTEXT(A3)</f>
        <v>0</v>
      </c>
    </row>
    <row r="3" spans="1:13" x14ac:dyDescent="0.25">
      <c r="A3">
        <v>13</v>
      </c>
    </row>
    <row r="4" spans="1:13" x14ac:dyDescent="0.25">
      <c r="A4" t="s">
        <v>294</v>
      </c>
      <c r="I4" t="b">
        <f>ISREF(H4)</f>
        <v>1</v>
      </c>
    </row>
    <row r="5" spans="1:13" x14ac:dyDescent="0.25">
      <c r="A5" t="s">
        <v>295</v>
      </c>
    </row>
    <row r="6" spans="1:13" x14ac:dyDescent="0.25">
      <c r="A6" t="s">
        <v>296</v>
      </c>
    </row>
    <row r="7" spans="1:13" x14ac:dyDescent="0.25">
      <c r="A7" t="s">
        <v>133</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B3E43-AD12-4CE3-9137-1C96DFC5F5E5}">
  <sheetPr codeName="Sheet32"/>
  <dimension ref="A1:B10"/>
  <sheetViews>
    <sheetView workbookViewId="0">
      <selection activeCell="M28" sqref="M28"/>
    </sheetView>
  </sheetViews>
  <sheetFormatPr defaultRowHeight="15" x14ac:dyDescent="0.25"/>
  <cols>
    <col min="1" max="1" width="8.42578125" bestFit="1" customWidth="1"/>
    <col min="2" max="2" width="12.42578125" bestFit="1" customWidth="1"/>
  </cols>
  <sheetData>
    <row r="1" spans="1:2" x14ac:dyDescent="0.25">
      <c r="A1" t="s">
        <v>0</v>
      </c>
      <c r="B1" t="s">
        <v>308</v>
      </c>
    </row>
    <row r="2" spans="1:2" x14ac:dyDescent="0.25">
      <c r="A2" t="s">
        <v>174</v>
      </c>
      <c r="B2" t="s">
        <v>309</v>
      </c>
    </row>
    <row r="3" spans="1:2" x14ac:dyDescent="0.25">
      <c r="A3" t="s">
        <v>133</v>
      </c>
      <c r="B3" t="s">
        <v>310</v>
      </c>
    </row>
    <row r="4" spans="1:2" x14ac:dyDescent="0.25">
      <c r="A4" t="s">
        <v>64</v>
      </c>
      <c r="B4" t="s">
        <v>311</v>
      </c>
    </row>
    <row r="5" spans="1:2" x14ac:dyDescent="0.25">
      <c r="A5" t="s">
        <v>63</v>
      </c>
      <c r="B5" t="s">
        <v>312</v>
      </c>
    </row>
    <row r="6" spans="1:2" x14ac:dyDescent="0.25">
      <c r="A6" t="s">
        <v>187</v>
      </c>
      <c r="B6" t="s">
        <v>313</v>
      </c>
    </row>
    <row r="7" spans="1:2" x14ac:dyDescent="0.25">
      <c r="A7" t="s">
        <v>46</v>
      </c>
      <c r="B7" t="s">
        <v>314</v>
      </c>
    </row>
    <row r="8" spans="1:2" x14ac:dyDescent="0.25">
      <c r="A8" t="s">
        <v>113</v>
      </c>
      <c r="B8" t="s">
        <v>315</v>
      </c>
    </row>
    <row r="9" spans="1:2" x14ac:dyDescent="0.25">
      <c r="A9" t="s">
        <v>189</v>
      </c>
      <c r="B9" t="s">
        <v>316</v>
      </c>
    </row>
    <row r="10" spans="1:2" x14ac:dyDescent="0.25">
      <c r="A10" t="s">
        <v>112</v>
      </c>
      <c r="B10" t="s">
        <v>317</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4FC13-CA65-47CF-8D47-0EDCE9E5AE02}">
  <sheetPr codeName="Sheet33"/>
  <dimension ref="A1:J10"/>
  <sheetViews>
    <sheetView zoomScaleNormal="100" workbookViewId="0">
      <selection activeCell="M28" sqref="M28"/>
    </sheetView>
  </sheetViews>
  <sheetFormatPr defaultRowHeight="15" x14ac:dyDescent="0.25"/>
  <cols>
    <col min="1" max="1" width="12.42578125" bestFit="1" customWidth="1"/>
    <col min="2" max="2" width="6.140625" bestFit="1" customWidth="1"/>
    <col min="4" max="4" width="8.42578125" bestFit="1" customWidth="1"/>
    <col min="5" max="5" width="6.85546875" bestFit="1" customWidth="1"/>
    <col min="6" max="6" width="5.5703125" bestFit="1" customWidth="1"/>
  </cols>
  <sheetData>
    <row r="1" spans="1:10" x14ac:dyDescent="0.25">
      <c r="A1" t="s">
        <v>308</v>
      </c>
      <c r="B1" t="s">
        <v>18</v>
      </c>
      <c r="D1" t="s">
        <v>174</v>
      </c>
      <c r="E1" t="str">
        <f>VLOOKUP(Sheet24!$D1,Sheet23!$A$1:$B$10,2,0)</f>
        <v>EMP01</v>
      </c>
      <c r="F1">
        <f t="shared" ref="F1:F4" si="0">VLOOKUP($E1,$A$1:$B$10,2,0)</f>
        <v>725</v>
      </c>
      <c r="I1" t="s">
        <v>174</v>
      </c>
      <c r="J1">
        <f>VLOOKUP(VLOOKUP($I1,Sheet23!$A$1:$B$10,2,0),$A$1:$B$10,2,0)</f>
        <v>725</v>
      </c>
    </row>
    <row r="2" spans="1:10" x14ac:dyDescent="0.25">
      <c r="A2" t="s">
        <v>309</v>
      </c>
      <c r="B2">
        <v>725</v>
      </c>
      <c r="D2" t="s">
        <v>133</v>
      </c>
      <c r="E2" t="str">
        <f>VLOOKUP(Sheet24!$D2,Sheet23!$A$1:$B$10,2,0)</f>
        <v>EMP02</v>
      </c>
      <c r="F2">
        <f t="shared" si="0"/>
        <v>810</v>
      </c>
      <c r="I2" t="s">
        <v>133</v>
      </c>
      <c r="J2">
        <f>VLOOKUP(VLOOKUP($I2,Sheet23!$A$1:$B$10,2,0),$A$1:$B$10,2,0)</f>
        <v>810</v>
      </c>
    </row>
    <row r="3" spans="1:10" x14ac:dyDescent="0.25">
      <c r="A3" t="s">
        <v>310</v>
      </c>
      <c r="B3">
        <v>810</v>
      </c>
      <c r="D3" t="s">
        <v>64</v>
      </c>
      <c r="E3" t="str">
        <f>VLOOKUP(Sheet24!$D3,Sheet23!$A$1:$B$10,2,0)</f>
        <v>EMP03</v>
      </c>
      <c r="F3">
        <f t="shared" si="0"/>
        <v>649</v>
      </c>
      <c r="I3" t="s">
        <v>64</v>
      </c>
      <c r="J3">
        <f>VLOOKUP(VLOOKUP($I3,Sheet23!$A$1:$B$10,2,0),$A$1:$B$10,2,0)</f>
        <v>649</v>
      </c>
    </row>
    <row r="4" spans="1:10" x14ac:dyDescent="0.25">
      <c r="A4" t="s">
        <v>311</v>
      </c>
      <c r="B4">
        <v>649</v>
      </c>
      <c r="D4" t="s">
        <v>63</v>
      </c>
      <c r="E4" t="str">
        <f>VLOOKUP(Sheet24!$D4,Sheet23!$A$1:$B$10,2,0)</f>
        <v>EMP04</v>
      </c>
      <c r="F4">
        <f t="shared" si="0"/>
        <v>219</v>
      </c>
      <c r="I4" t="s">
        <v>63</v>
      </c>
      <c r="J4">
        <f>VLOOKUP(VLOOKUP($I4,Sheet23!$A$1:$B$10,2,0),$A$1:$B$10,2,0)</f>
        <v>219</v>
      </c>
    </row>
    <row r="5" spans="1:10" x14ac:dyDescent="0.25">
      <c r="A5" t="s">
        <v>312</v>
      </c>
      <c r="B5">
        <v>219</v>
      </c>
      <c r="D5" t="s">
        <v>187</v>
      </c>
      <c r="E5" t="str">
        <f>VLOOKUP(Sheet24!$D5,Sheet23!$A$1:$B$10,2,0)</f>
        <v>EMP05</v>
      </c>
      <c r="F5">
        <f>VLOOKUP($E5,$A$1:$B$10,2,0)</f>
        <v>408</v>
      </c>
      <c r="I5" t="s">
        <v>187</v>
      </c>
      <c r="J5">
        <f>VLOOKUP(VLOOKUP($I5,Sheet23!$A$1:$B$10,2,0),$A$1:$B$10,2,0)</f>
        <v>408</v>
      </c>
    </row>
    <row r="6" spans="1:10" x14ac:dyDescent="0.25">
      <c r="A6" t="s">
        <v>313</v>
      </c>
      <c r="B6">
        <v>408</v>
      </c>
      <c r="D6" t="s">
        <v>46</v>
      </c>
      <c r="E6" t="str">
        <f>VLOOKUP(Sheet24!$D6,Sheet23!$A$1:$B$10,2,0)</f>
        <v>EMP06</v>
      </c>
      <c r="F6">
        <f t="shared" ref="F6:F9" si="1">VLOOKUP($E6,$A$1:$B$10,2,0)</f>
        <v>997</v>
      </c>
      <c r="I6" t="s">
        <v>46</v>
      </c>
      <c r="J6">
        <f>VLOOKUP(VLOOKUP($I6,Sheet23!$A$1:$B$10,2,0),$A$1:$B$10,2,0)</f>
        <v>997</v>
      </c>
    </row>
    <row r="7" spans="1:10" x14ac:dyDescent="0.25">
      <c r="A7" t="s">
        <v>314</v>
      </c>
      <c r="B7">
        <v>997</v>
      </c>
      <c r="D7" t="s">
        <v>113</v>
      </c>
      <c r="E7" t="str">
        <f>VLOOKUP(Sheet24!$D7,Sheet23!$A$1:$B$10,2,0)</f>
        <v>EMP07</v>
      </c>
      <c r="F7">
        <f t="shared" si="1"/>
        <v>542</v>
      </c>
      <c r="I7" t="s">
        <v>113</v>
      </c>
      <c r="J7">
        <f>VLOOKUP(VLOOKUP($I7,Sheet23!$A$1:$B$10,2,0),$A$1:$B$10,2,0)</f>
        <v>542</v>
      </c>
    </row>
    <row r="8" spans="1:10" x14ac:dyDescent="0.25">
      <c r="A8" t="s">
        <v>315</v>
      </c>
      <c r="B8">
        <v>542</v>
      </c>
      <c r="D8" t="s">
        <v>189</v>
      </c>
      <c r="E8" t="str">
        <f>VLOOKUP(Sheet24!$D8,Sheet23!$A$1:$B$10,2,0)</f>
        <v>EMP08</v>
      </c>
      <c r="F8">
        <f t="shared" si="1"/>
        <v>704</v>
      </c>
      <c r="I8" t="s">
        <v>189</v>
      </c>
      <c r="J8">
        <f>VLOOKUP(VLOOKUP($I8,Sheet23!$A$1:$B$10,2,0),$A$1:$B$10,2,0)</f>
        <v>704</v>
      </c>
    </row>
    <row r="9" spans="1:10" x14ac:dyDescent="0.25">
      <c r="A9" t="s">
        <v>316</v>
      </c>
      <c r="B9">
        <v>704</v>
      </c>
      <c r="D9" t="s">
        <v>112</v>
      </c>
      <c r="E9" t="str">
        <f>VLOOKUP(Sheet24!$D9,Sheet23!$A$1:$B$10,2,0)</f>
        <v>EMP09</v>
      </c>
      <c r="F9">
        <f t="shared" si="1"/>
        <v>123</v>
      </c>
      <c r="I9" t="s">
        <v>112</v>
      </c>
      <c r="J9">
        <f>VLOOKUP(VLOOKUP($I9,Sheet23!$A$1:$B$10,2,0),$A$1:$B$10,2,0)</f>
        <v>123</v>
      </c>
    </row>
    <row r="10" spans="1:10" x14ac:dyDescent="0.25">
      <c r="A10" t="s">
        <v>317</v>
      </c>
      <c r="B10">
        <v>123</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BCB3EA-C383-4B94-B864-8AF7E6C75504}">
  <sheetPr codeName="Sheet34">
    <pageSetUpPr autoPageBreaks="0"/>
  </sheetPr>
  <dimension ref="A1:AL30"/>
  <sheetViews>
    <sheetView zoomScale="85" zoomScaleNormal="85" workbookViewId="0">
      <selection activeCell="M28" sqref="M28"/>
    </sheetView>
  </sheetViews>
  <sheetFormatPr defaultRowHeight="15" x14ac:dyDescent="0.25"/>
  <cols>
    <col min="2" max="32" width="4.7109375" customWidth="1"/>
    <col min="34" max="34" width="12.28515625" bestFit="1" customWidth="1"/>
    <col min="35" max="35" width="11.5703125" bestFit="1" customWidth="1"/>
    <col min="36" max="36" width="8.85546875" bestFit="1" customWidth="1"/>
    <col min="37" max="37" width="21.140625" bestFit="1" customWidth="1"/>
    <col min="38" max="38" width="10.28515625" bestFit="1" customWidth="1"/>
  </cols>
  <sheetData>
    <row r="1" spans="2:35" x14ac:dyDescent="0.25">
      <c r="B1" s="57" t="s">
        <v>318</v>
      </c>
      <c r="C1" s="57"/>
      <c r="D1" s="57"/>
      <c r="E1" s="57"/>
      <c r="F1" s="57"/>
      <c r="G1" s="57"/>
      <c r="H1" s="58">
        <v>45627</v>
      </c>
      <c r="I1" s="58"/>
      <c r="J1" s="58"/>
      <c r="K1" s="58"/>
      <c r="L1" s="58"/>
      <c r="M1" s="58"/>
      <c r="P1" s="60" t="s">
        <v>320</v>
      </c>
      <c r="Q1" s="60"/>
      <c r="R1" s="60"/>
      <c r="S1" s="60"/>
      <c r="T1" s="60"/>
      <c r="U1" s="60"/>
      <c r="V1" s="54">
        <f>EOMONTH(H1,0)</f>
        <v>45657</v>
      </c>
      <c r="W1" s="54"/>
      <c r="X1" s="54"/>
      <c r="Y1" s="54"/>
      <c r="Z1" s="54"/>
      <c r="AA1" s="54"/>
      <c r="AH1" s="13">
        <v>45383</v>
      </c>
      <c r="AI1" s="14">
        <f>AH1</f>
        <v>45383</v>
      </c>
    </row>
    <row r="2" spans="2:35" x14ac:dyDescent="0.25">
      <c r="B2" s="57"/>
      <c r="C2" s="57"/>
      <c r="D2" s="57"/>
      <c r="E2" s="57"/>
      <c r="F2" s="57"/>
      <c r="G2" s="57"/>
      <c r="H2" s="58"/>
      <c r="I2" s="58"/>
      <c r="J2" s="58"/>
      <c r="K2" s="58"/>
      <c r="L2" s="58"/>
      <c r="M2" s="58"/>
      <c r="P2" s="60"/>
      <c r="Q2" s="60"/>
      <c r="R2" s="60"/>
      <c r="S2" s="60"/>
      <c r="T2" s="60"/>
      <c r="U2" s="60"/>
      <c r="V2" s="54"/>
      <c r="W2" s="54"/>
      <c r="X2" s="54"/>
      <c r="Y2" s="54"/>
      <c r="Z2" s="54"/>
      <c r="AA2" s="54"/>
      <c r="AH2" s="13">
        <v>45413</v>
      </c>
      <c r="AI2" s="14">
        <f>AH2</f>
        <v>45413</v>
      </c>
    </row>
    <row r="3" spans="2:35" x14ac:dyDescent="0.25">
      <c r="B3" s="57"/>
      <c r="C3" s="57"/>
      <c r="D3" s="57"/>
      <c r="E3" s="57"/>
      <c r="F3" s="57"/>
      <c r="G3" s="57"/>
      <c r="H3" s="58"/>
      <c r="I3" s="58"/>
      <c r="J3" s="58"/>
      <c r="K3" s="58"/>
      <c r="L3" s="58"/>
      <c r="M3" s="58"/>
      <c r="P3" s="60"/>
      <c r="Q3" s="60"/>
      <c r="R3" s="60"/>
      <c r="S3" s="60"/>
      <c r="T3" s="60"/>
      <c r="U3" s="60"/>
      <c r="V3" s="54"/>
      <c r="W3" s="54"/>
      <c r="X3" s="54"/>
      <c r="Y3" s="54"/>
      <c r="Z3" s="54"/>
      <c r="AA3" s="54"/>
      <c r="AH3" s="13">
        <v>45444</v>
      </c>
      <c r="AI3" s="14">
        <f t="shared" ref="AI3:AI12" si="0">AH3</f>
        <v>45444</v>
      </c>
    </row>
    <row r="4" spans="2:35" x14ac:dyDescent="0.25">
      <c r="B4" s="57"/>
      <c r="C4" s="57"/>
      <c r="D4" s="57"/>
      <c r="E4" s="57"/>
      <c r="F4" s="57"/>
      <c r="G4" s="57"/>
      <c r="H4" s="58"/>
      <c r="I4" s="58"/>
      <c r="J4" s="58"/>
      <c r="K4" s="58"/>
      <c r="L4" s="58"/>
      <c r="M4" s="58"/>
      <c r="P4" s="60"/>
      <c r="Q4" s="60"/>
      <c r="R4" s="60"/>
      <c r="S4" s="60"/>
      <c r="T4" s="60"/>
      <c r="U4" s="60"/>
      <c r="V4" s="54"/>
      <c r="W4" s="54"/>
      <c r="X4" s="54"/>
      <c r="Y4" s="54"/>
      <c r="Z4" s="54"/>
      <c r="AA4" s="54"/>
      <c r="AH4" s="13">
        <v>45474</v>
      </c>
      <c r="AI4" s="14">
        <f t="shared" si="0"/>
        <v>45474</v>
      </c>
    </row>
    <row r="5" spans="2:35" x14ac:dyDescent="0.25">
      <c r="B5" s="55" t="s">
        <v>319</v>
      </c>
      <c r="C5" s="55"/>
      <c r="D5" s="55"/>
      <c r="E5" s="55"/>
      <c r="F5" s="55"/>
      <c r="G5" s="55"/>
      <c r="H5" s="59">
        <f>H1</f>
        <v>45627</v>
      </c>
      <c r="I5" s="59"/>
      <c r="J5" s="59"/>
      <c r="K5" s="59"/>
      <c r="L5" s="59"/>
      <c r="M5" s="59"/>
      <c r="P5" s="55" t="s">
        <v>321</v>
      </c>
      <c r="Q5" s="55"/>
      <c r="R5" s="55"/>
      <c r="S5" s="55"/>
      <c r="T5" s="55"/>
      <c r="U5" s="55"/>
      <c r="V5" s="56">
        <f>V1</f>
        <v>45657</v>
      </c>
      <c r="W5" s="56"/>
      <c r="X5" s="56"/>
      <c r="Y5" s="56"/>
      <c r="Z5" s="56"/>
      <c r="AA5" s="56"/>
      <c r="AH5" s="13">
        <v>45505</v>
      </c>
      <c r="AI5" s="14">
        <f t="shared" si="0"/>
        <v>45505</v>
      </c>
    </row>
    <row r="6" spans="2:35" x14ac:dyDescent="0.25">
      <c r="B6" s="55"/>
      <c r="C6" s="55"/>
      <c r="D6" s="55"/>
      <c r="E6" s="55"/>
      <c r="F6" s="55"/>
      <c r="G6" s="55"/>
      <c r="H6" s="59"/>
      <c r="I6" s="59"/>
      <c r="J6" s="59"/>
      <c r="K6" s="59"/>
      <c r="L6" s="59"/>
      <c r="M6" s="59"/>
      <c r="P6" s="55"/>
      <c r="Q6" s="55"/>
      <c r="R6" s="55"/>
      <c r="S6" s="55"/>
      <c r="T6" s="55"/>
      <c r="U6" s="55"/>
      <c r="V6" s="56"/>
      <c r="W6" s="56"/>
      <c r="X6" s="56"/>
      <c r="Y6" s="56"/>
      <c r="Z6" s="56"/>
      <c r="AA6" s="56"/>
      <c r="AH6" s="13">
        <v>45536</v>
      </c>
      <c r="AI6" s="14">
        <f t="shared" si="0"/>
        <v>45536</v>
      </c>
    </row>
    <row r="7" spans="2:35" x14ac:dyDescent="0.25">
      <c r="B7" s="55"/>
      <c r="C7" s="55"/>
      <c r="D7" s="55"/>
      <c r="E7" s="55"/>
      <c r="F7" s="55"/>
      <c r="G7" s="55"/>
      <c r="H7" s="59"/>
      <c r="I7" s="59"/>
      <c r="J7" s="59"/>
      <c r="K7" s="59"/>
      <c r="L7" s="59"/>
      <c r="M7" s="59"/>
      <c r="P7" s="55"/>
      <c r="Q7" s="55"/>
      <c r="R7" s="55"/>
      <c r="S7" s="55"/>
      <c r="T7" s="55"/>
      <c r="U7" s="55"/>
      <c r="V7" s="56"/>
      <c r="W7" s="56"/>
      <c r="X7" s="56"/>
      <c r="Y7" s="56"/>
      <c r="Z7" s="56"/>
      <c r="AA7" s="56"/>
      <c r="AH7" s="13">
        <v>45566</v>
      </c>
      <c r="AI7" s="14">
        <f t="shared" si="0"/>
        <v>45566</v>
      </c>
    </row>
    <row r="8" spans="2:35" x14ac:dyDescent="0.25">
      <c r="B8" s="55"/>
      <c r="C8" s="55"/>
      <c r="D8" s="55"/>
      <c r="E8" s="55"/>
      <c r="F8" s="55"/>
      <c r="G8" s="55"/>
      <c r="H8" s="59"/>
      <c r="I8" s="59"/>
      <c r="J8" s="59"/>
      <c r="K8" s="59"/>
      <c r="L8" s="59"/>
      <c r="M8" s="59"/>
      <c r="P8" s="55"/>
      <c r="Q8" s="55"/>
      <c r="R8" s="55"/>
      <c r="S8" s="55"/>
      <c r="T8" s="55"/>
      <c r="U8" s="55"/>
      <c r="V8" s="56"/>
      <c r="W8" s="56"/>
      <c r="X8" s="56"/>
      <c r="Y8" s="56"/>
      <c r="Z8" s="56"/>
      <c r="AA8" s="56"/>
      <c r="AH8" s="13">
        <v>45597</v>
      </c>
      <c r="AI8" s="14">
        <f t="shared" si="0"/>
        <v>45597</v>
      </c>
    </row>
    <row r="9" spans="2:35" x14ac:dyDescent="0.25">
      <c r="AH9" s="13">
        <v>45627</v>
      </c>
      <c r="AI9" s="14">
        <f t="shared" si="0"/>
        <v>45627</v>
      </c>
    </row>
    <row r="10" spans="2:35" x14ac:dyDescent="0.25">
      <c r="AH10" s="13">
        <v>45658</v>
      </c>
      <c r="AI10" s="14">
        <f t="shared" si="0"/>
        <v>45658</v>
      </c>
    </row>
    <row r="11" spans="2:35" x14ac:dyDescent="0.25">
      <c r="AH11" s="13">
        <v>45689</v>
      </c>
      <c r="AI11" s="14">
        <f t="shared" si="0"/>
        <v>45689</v>
      </c>
    </row>
    <row r="12" spans="2:35" x14ac:dyDescent="0.25">
      <c r="AH12" s="13">
        <v>45717</v>
      </c>
      <c r="AI12" s="14">
        <f t="shared" si="0"/>
        <v>45717</v>
      </c>
    </row>
    <row r="16" spans="2:35" x14ac:dyDescent="0.25">
      <c r="B16" s="15">
        <f>H1</f>
        <v>45627</v>
      </c>
      <c r="C16" s="15">
        <f>IF(B16&lt;$V$1,B16+1,"")</f>
        <v>45628</v>
      </c>
      <c r="D16" s="15">
        <f t="shared" ref="D16:AF16" si="1">IF(C16&lt;$V$1,C16+1,"")</f>
        <v>45629</v>
      </c>
      <c r="E16" s="15">
        <f t="shared" si="1"/>
        <v>45630</v>
      </c>
      <c r="F16" s="15">
        <f t="shared" si="1"/>
        <v>45631</v>
      </c>
      <c r="G16" s="15">
        <f t="shared" si="1"/>
        <v>45632</v>
      </c>
      <c r="H16" s="15">
        <f t="shared" si="1"/>
        <v>45633</v>
      </c>
      <c r="I16" s="15">
        <f t="shared" si="1"/>
        <v>45634</v>
      </c>
      <c r="J16" s="15">
        <f t="shared" si="1"/>
        <v>45635</v>
      </c>
      <c r="K16" s="15">
        <f t="shared" si="1"/>
        <v>45636</v>
      </c>
      <c r="L16" s="15">
        <f t="shared" si="1"/>
        <v>45637</v>
      </c>
      <c r="M16" s="15">
        <f t="shared" si="1"/>
        <v>45638</v>
      </c>
      <c r="N16" s="15">
        <f t="shared" si="1"/>
        <v>45639</v>
      </c>
      <c r="O16" s="15">
        <f t="shared" si="1"/>
        <v>45640</v>
      </c>
      <c r="P16" s="15">
        <f t="shared" si="1"/>
        <v>45641</v>
      </c>
      <c r="Q16" s="15">
        <f>IF(P16&lt;$V$1,P16+1,"")</f>
        <v>45642</v>
      </c>
      <c r="R16" s="15">
        <f>IF(Q16&lt;$V$1,Q16+1,"")</f>
        <v>45643</v>
      </c>
      <c r="S16" s="15">
        <f t="shared" si="1"/>
        <v>45644</v>
      </c>
      <c r="T16" s="15">
        <f t="shared" si="1"/>
        <v>45645</v>
      </c>
      <c r="U16" s="15">
        <f t="shared" si="1"/>
        <v>45646</v>
      </c>
      <c r="V16" s="15">
        <f t="shared" si="1"/>
        <v>45647</v>
      </c>
      <c r="W16" s="15">
        <f t="shared" si="1"/>
        <v>45648</v>
      </c>
      <c r="X16" s="15">
        <f t="shared" si="1"/>
        <v>45649</v>
      </c>
      <c r="Y16" s="15">
        <f t="shared" si="1"/>
        <v>45650</v>
      </c>
      <c r="Z16" s="15">
        <f t="shared" si="1"/>
        <v>45651</v>
      </c>
      <c r="AA16" s="15">
        <f t="shared" si="1"/>
        <v>45652</v>
      </c>
      <c r="AB16" s="15">
        <f t="shared" si="1"/>
        <v>45653</v>
      </c>
      <c r="AC16" s="15">
        <f t="shared" si="1"/>
        <v>45654</v>
      </c>
      <c r="AD16" s="15">
        <f t="shared" si="1"/>
        <v>45655</v>
      </c>
      <c r="AE16" s="15">
        <f t="shared" si="1"/>
        <v>45656</v>
      </c>
      <c r="AF16" s="15">
        <f t="shared" si="1"/>
        <v>45657</v>
      </c>
    </row>
    <row r="17" spans="1:38" ht="15" customHeight="1" x14ac:dyDescent="0.25">
      <c r="B17" s="53" t="str">
        <f>TEXT(B16,"DDDD")</f>
        <v>Sunday</v>
      </c>
      <c r="C17" s="53" t="str">
        <f t="shared" ref="C17:AF17" si="2">TEXT(C16,"DDDD")</f>
        <v>Monday</v>
      </c>
      <c r="D17" s="53" t="str">
        <f t="shared" si="2"/>
        <v>Tuesday</v>
      </c>
      <c r="E17" s="53" t="str">
        <f t="shared" si="2"/>
        <v>Wednesday</v>
      </c>
      <c r="F17" s="53" t="str">
        <f>TEXT(F16,"DDDD")</f>
        <v>Thursday</v>
      </c>
      <c r="G17" s="53" t="str">
        <f t="shared" si="2"/>
        <v>Friday</v>
      </c>
      <c r="H17" s="53" t="str">
        <f t="shared" si="2"/>
        <v>Saturday</v>
      </c>
      <c r="I17" s="53" t="str">
        <f t="shared" si="2"/>
        <v>Sunday</v>
      </c>
      <c r="J17" s="53" t="str">
        <f t="shared" si="2"/>
        <v>Monday</v>
      </c>
      <c r="K17" s="53" t="str">
        <f t="shared" si="2"/>
        <v>Tuesday</v>
      </c>
      <c r="L17" s="53" t="str">
        <f t="shared" si="2"/>
        <v>Wednesday</v>
      </c>
      <c r="M17" s="53" t="str">
        <f>TEXT(M16,"DDDD")</f>
        <v>Thursday</v>
      </c>
      <c r="N17" s="53" t="str">
        <f t="shared" si="2"/>
        <v>Friday</v>
      </c>
      <c r="O17" s="53" t="str">
        <f>TEXT(O16,"DDDD")</f>
        <v>Saturday</v>
      </c>
      <c r="P17" s="53" t="str">
        <f t="shared" si="2"/>
        <v>Sunday</v>
      </c>
      <c r="Q17" s="53" t="str">
        <f t="shared" si="2"/>
        <v>Monday</v>
      </c>
      <c r="R17" s="53" t="str">
        <f t="shared" si="2"/>
        <v>Tuesday</v>
      </c>
      <c r="S17" s="53" t="str">
        <f t="shared" si="2"/>
        <v>Wednesday</v>
      </c>
      <c r="T17" s="53" t="str">
        <f t="shared" si="2"/>
        <v>Thursday</v>
      </c>
      <c r="U17" s="53" t="str">
        <f t="shared" si="2"/>
        <v>Friday</v>
      </c>
      <c r="V17" s="53" t="str">
        <f t="shared" si="2"/>
        <v>Saturday</v>
      </c>
      <c r="W17" s="53" t="str">
        <f t="shared" si="2"/>
        <v>Sunday</v>
      </c>
      <c r="X17" s="53" t="str">
        <f t="shared" si="2"/>
        <v>Monday</v>
      </c>
      <c r="Y17" s="53" t="str">
        <f t="shared" si="2"/>
        <v>Tuesday</v>
      </c>
      <c r="Z17" s="53" t="str">
        <f t="shared" si="2"/>
        <v>Wednesday</v>
      </c>
      <c r="AA17" s="53" t="str">
        <f t="shared" si="2"/>
        <v>Thursday</v>
      </c>
      <c r="AB17" s="53" t="str">
        <f t="shared" si="2"/>
        <v>Friday</v>
      </c>
      <c r="AC17" s="53" t="str">
        <f t="shared" si="2"/>
        <v>Saturday</v>
      </c>
      <c r="AD17" s="53" t="str">
        <f t="shared" si="2"/>
        <v>Sunday</v>
      </c>
      <c r="AE17" s="53" t="str">
        <f t="shared" si="2"/>
        <v>Monday</v>
      </c>
      <c r="AF17" s="53" t="str">
        <f t="shared" si="2"/>
        <v>Tuesday</v>
      </c>
    </row>
    <row r="18" spans="1:38" x14ac:dyDescent="0.25">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row>
    <row r="19" spans="1:38" x14ac:dyDescent="0.25">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row>
    <row r="20" spans="1:38" x14ac:dyDescent="0.25">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row>
    <row r="21" spans="1:38" x14ac:dyDescent="0.25">
      <c r="A21" t="s">
        <v>0</v>
      </c>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17" t="s">
        <v>324</v>
      </c>
      <c r="AH21" s="18" t="s">
        <v>325</v>
      </c>
      <c r="AI21" s="19" t="s">
        <v>326</v>
      </c>
      <c r="AJ21" s="1" t="s">
        <v>327</v>
      </c>
      <c r="AK21" s="21" t="s">
        <v>328</v>
      </c>
      <c r="AL21" s="21" t="s">
        <v>329</v>
      </c>
    </row>
    <row r="22" spans="1:38" x14ac:dyDescent="0.25">
      <c r="A22" t="s">
        <v>63</v>
      </c>
      <c r="B22" s="16" t="str">
        <f>IFERROR(HLOOKUP($A22,Sheet26!$A$1:$I$366,MATCH(Sheet25!B$16,Sheet26!$A$1:$A$366,0),0),"")</f>
        <v>H</v>
      </c>
      <c r="C22" s="16" t="str">
        <f>IFERROR(HLOOKUP($A22,Sheet26!$A$1:$I$366,MATCH(Sheet25!C$16,Sheet26!$A$1:$A$366,0),0),"")</f>
        <v>P</v>
      </c>
      <c r="D22" s="16" t="str">
        <f>IFERROR(HLOOKUP($A22,Sheet26!$A$1:$I$366,MATCH(Sheet25!D$16,Sheet26!$A$1:$A$366,0),0),"")</f>
        <v>L</v>
      </c>
      <c r="E22" s="16" t="str">
        <f>IFERROR(HLOOKUP($A22,Sheet26!$A$1:$I$366,MATCH(Sheet25!E$16,Sheet26!$A$1:$A$366,0),0),"")</f>
        <v>P</v>
      </c>
      <c r="F22" s="16" t="str">
        <f>IFERROR(HLOOKUP($A22,Sheet26!$A$1:$I$366,MATCH(Sheet25!F$16,Sheet26!$A$1:$A$366,0),0),"")</f>
        <v>A</v>
      </c>
      <c r="G22" s="16" t="str">
        <f>IFERROR(HLOOKUP($A22,Sheet26!$A$1:$I$366,MATCH(Sheet25!G$16,Sheet26!$A$1:$A$366,0),0),"")</f>
        <v>A</v>
      </c>
      <c r="H22" s="16" t="str">
        <f>IFERROR(HLOOKUP($A22,Sheet26!$A$1:$I$366,MATCH(Sheet25!H$16,Sheet26!$A$1:$A$366,0),0),"")</f>
        <v>P</v>
      </c>
      <c r="I22" s="16" t="str">
        <f>IFERROR(HLOOKUP($A22,Sheet26!$A$1:$I$366,MATCH(Sheet25!I$16,Sheet26!$A$1:$A$366,0),0),"")</f>
        <v>H</v>
      </c>
      <c r="J22" s="16" t="str">
        <f>IFERROR(HLOOKUP($A22,Sheet26!$A$1:$I$366,MATCH(Sheet25!J$16,Sheet26!$A$1:$A$366,0),0),"")</f>
        <v>P</v>
      </c>
      <c r="K22" s="16" t="str">
        <f>IFERROR(HLOOKUP($A22,Sheet26!$A$1:$I$366,MATCH(Sheet25!K$16,Sheet26!$A$1:$A$366,0),0),"")</f>
        <v>L</v>
      </c>
      <c r="L22" s="16" t="str">
        <f>IFERROR(HLOOKUP($A22,Sheet26!$A$1:$I$366,MATCH(Sheet25!L$16,Sheet26!$A$1:$A$366,0),0),"")</f>
        <v>P</v>
      </c>
      <c r="M22" s="16" t="str">
        <f>IFERROR(HLOOKUP($A22,Sheet26!$A$1:$I$366,MATCH(Sheet25!M$16,Sheet26!$A$1:$A$366,0),0),"")</f>
        <v>P</v>
      </c>
      <c r="N22" s="16" t="str">
        <f>IFERROR(HLOOKUP($A22,Sheet26!$A$1:$I$366,MATCH(Sheet25!N$16,Sheet26!$A$1:$A$366,0),0),"")</f>
        <v>A</v>
      </c>
      <c r="O22" s="16" t="str">
        <f>IFERROR(HLOOKUP($A22,Sheet26!$A$1:$I$366,MATCH(Sheet25!O$16,Sheet26!$A$1:$A$366,0),0),"")</f>
        <v>L</v>
      </c>
      <c r="P22" s="16" t="str">
        <f>IFERROR(HLOOKUP($A22,Sheet26!$A$1:$I$366,MATCH(Sheet25!P$16,Sheet26!$A$1:$A$366,0),0),"")</f>
        <v>H</v>
      </c>
      <c r="Q22" s="16" t="str">
        <f>IFERROR(HLOOKUP($A22,Sheet26!$A$1:$I$366,MATCH(Sheet25!Q$16,Sheet26!$A$1:$A$366,0),0),"")</f>
        <v>L</v>
      </c>
      <c r="R22" s="16" t="str">
        <f>IFERROR(HLOOKUP($A22,Sheet26!$A$1:$I$366,MATCH(Sheet25!R$16,Sheet26!$A$1:$A$366,0),0),"")</f>
        <v>P</v>
      </c>
      <c r="S22" s="16" t="str">
        <f>IFERROR(HLOOKUP($A22,Sheet26!$A$1:$I$366,MATCH(Sheet25!S$16,Sheet26!$A$1:$A$366,0),0),"")</f>
        <v>L</v>
      </c>
      <c r="T22" s="16" t="str">
        <f>IFERROR(HLOOKUP($A22,Sheet26!$A$1:$I$366,MATCH(Sheet25!T$16,Sheet26!$A$1:$A$366,0),0),"")</f>
        <v>P</v>
      </c>
      <c r="U22" s="16" t="str">
        <f>IFERROR(HLOOKUP($A22,Sheet26!$A$1:$I$366,MATCH(Sheet25!U$16,Sheet26!$A$1:$A$366,0),0),"")</f>
        <v>P</v>
      </c>
      <c r="V22" s="16" t="str">
        <f>IFERROR(HLOOKUP($A22,Sheet26!$A$1:$I$366,MATCH(Sheet25!V$16,Sheet26!$A$1:$A$366,0),0),"")</f>
        <v>P</v>
      </c>
      <c r="W22" s="16" t="str">
        <f>IFERROR(HLOOKUP($A22,Sheet26!$A$1:$I$366,MATCH(Sheet25!W$16,Sheet26!$A$1:$A$366,0),0),"")</f>
        <v>H</v>
      </c>
      <c r="X22" s="16" t="str">
        <f>IFERROR(HLOOKUP($A22,Sheet26!$A$1:$I$366,MATCH(Sheet25!X$16,Sheet26!$A$1:$A$366,0),0),"")</f>
        <v>L</v>
      </c>
      <c r="Y22" s="16" t="str">
        <f>IFERROR(HLOOKUP($A22,Sheet26!$A$1:$I$366,MATCH(Sheet25!Y$16,Sheet26!$A$1:$A$366,0),0),"")</f>
        <v>L</v>
      </c>
      <c r="Z22" s="16" t="str">
        <f>IFERROR(HLOOKUP($A22,Sheet26!$A$1:$I$366,MATCH(Sheet25!Z$16,Sheet26!$A$1:$A$366,0),0),"")</f>
        <v>P</v>
      </c>
      <c r="AA22" s="16" t="str">
        <f>IFERROR(HLOOKUP($A22,Sheet26!$A$1:$I$366,MATCH(Sheet25!AA$16,Sheet26!$A$1:$A$366,0),0),"")</f>
        <v>P</v>
      </c>
      <c r="AB22" s="16" t="str">
        <f>IFERROR(HLOOKUP($A22,Sheet26!$A$1:$I$366,MATCH(Sheet25!AB$16,Sheet26!$A$1:$A$366,0),0),"")</f>
        <v>L</v>
      </c>
      <c r="AC22" s="16" t="str">
        <f>IFERROR(HLOOKUP($A22,Sheet26!$A$1:$I$366,MATCH(Sheet25!AC$16,Sheet26!$A$1:$A$366,0),0),"")</f>
        <v>P</v>
      </c>
      <c r="AD22" s="16" t="str">
        <f>IFERROR(HLOOKUP($A22,Sheet26!$A$1:$I$366,MATCH(Sheet25!AD$16,Sheet26!$A$1:$A$366,0),0),"")</f>
        <v>H</v>
      </c>
      <c r="AE22" s="16" t="str">
        <f>IFERROR(HLOOKUP($A22,Sheet26!$A$1:$I$366,MATCH(Sheet25!AE$16,Sheet26!$A$1:$A$366,0),0),"")</f>
        <v>A</v>
      </c>
      <c r="AF22" s="16" t="str">
        <f>IFERROR(HLOOKUP($A22,Sheet26!$A$1:$I$366,MATCH(Sheet25!AF$16,Sheet26!$A$1:$A$366,0),0),"")</f>
        <v>P</v>
      </c>
      <c r="AG22">
        <f>COUNTIFS($B22:$AF22,LEFT(AG$21,1))</f>
        <v>14</v>
      </c>
      <c r="AH22">
        <f t="shared" ref="AH22:AJ30" si="3">COUNTIFS($B22:$AF22,LEFT(AH$21,1))</f>
        <v>4</v>
      </c>
      <c r="AI22">
        <f t="shared" si="3"/>
        <v>8</v>
      </c>
      <c r="AJ22">
        <f t="shared" si="3"/>
        <v>5</v>
      </c>
      <c r="AK22" s="11">
        <f>AG22+AH22+AI22</f>
        <v>26</v>
      </c>
      <c r="AL22" s="20">
        <f>AG22/AK22*100</f>
        <v>53.846153846153847</v>
      </c>
    </row>
    <row r="23" spans="1:38" x14ac:dyDescent="0.25">
      <c r="A23" t="s">
        <v>187</v>
      </c>
      <c r="B23" s="16" t="str">
        <f>IFERROR(HLOOKUP($A23,Sheet26!$A$1:$I$366,MATCH(Sheet25!B$16,Sheet26!$A$1:$A$366,0),0),"")</f>
        <v>H</v>
      </c>
      <c r="C23" s="16" t="str">
        <f>IFERROR(HLOOKUP($A23,Sheet26!$A$1:$I$366,MATCH(Sheet25!C$16,Sheet26!$A$1:$A$366,0),0),"")</f>
        <v>A</v>
      </c>
      <c r="D23" s="16" t="str">
        <f>IFERROR(HLOOKUP($A23,Sheet26!$A$1:$I$366,MATCH(Sheet25!D$16,Sheet26!$A$1:$A$366,0),0),"")</f>
        <v>L</v>
      </c>
      <c r="E23" s="16" t="str">
        <f>IFERROR(HLOOKUP($A23,Sheet26!$A$1:$I$366,MATCH(Sheet25!E$16,Sheet26!$A$1:$A$366,0),0),"")</f>
        <v>L</v>
      </c>
      <c r="F23" s="16" t="str">
        <f>IFERROR(HLOOKUP($A23,Sheet26!$A$1:$I$366,MATCH(Sheet25!F$16,Sheet26!$A$1:$A$366,0),0),"")</f>
        <v>A</v>
      </c>
      <c r="G23" s="16" t="str">
        <f>IFERROR(HLOOKUP($A23,Sheet26!$A$1:$I$366,MATCH(Sheet25!G$16,Sheet26!$A$1:$A$366,0),0),"")</f>
        <v>L</v>
      </c>
      <c r="H23" s="16" t="str">
        <f>IFERROR(HLOOKUP($A23,Sheet26!$A$1:$I$366,MATCH(Sheet25!H$16,Sheet26!$A$1:$A$366,0),0),"")</f>
        <v>P</v>
      </c>
      <c r="I23" s="16" t="str">
        <f>IFERROR(HLOOKUP($A23,Sheet26!$A$1:$I$366,MATCH(Sheet25!I$16,Sheet26!$A$1:$A$366,0),0),"")</f>
        <v>H</v>
      </c>
      <c r="J23" s="16" t="str">
        <f>IFERROR(HLOOKUP($A23,Sheet26!$A$1:$I$366,MATCH(Sheet25!J$16,Sheet26!$A$1:$A$366,0),0),"")</f>
        <v>P</v>
      </c>
      <c r="K23" s="16" t="str">
        <f>IFERROR(HLOOKUP($A23,Sheet26!$A$1:$I$366,MATCH(Sheet25!K$16,Sheet26!$A$1:$A$366,0),0),"")</f>
        <v>P</v>
      </c>
      <c r="L23" s="16" t="str">
        <f>IFERROR(HLOOKUP($A23,Sheet26!$A$1:$I$366,MATCH(Sheet25!L$16,Sheet26!$A$1:$A$366,0),0),"")</f>
        <v>P</v>
      </c>
      <c r="M23" s="16" t="str">
        <f>IFERROR(HLOOKUP($A23,Sheet26!$A$1:$I$366,MATCH(Sheet25!M$16,Sheet26!$A$1:$A$366,0),0),"")</f>
        <v>P</v>
      </c>
      <c r="N23" s="16" t="str">
        <f>IFERROR(HLOOKUP($A23,Sheet26!$A$1:$I$366,MATCH(Sheet25!N$16,Sheet26!$A$1:$A$366,0),0),"")</f>
        <v>P</v>
      </c>
      <c r="O23" s="16" t="str">
        <f>IFERROR(HLOOKUP($A23,Sheet26!$A$1:$I$366,MATCH(Sheet25!O$16,Sheet26!$A$1:$A$366,0),0),"")</f>
        <v>P</v>
      </c>
      <c r="P23" s="16" t="str">
        <f>IFERROR(HLOOKUP($A23,Sheet26!$A$1:$I$366,MATCH(Sheet25!P$16,Sheet26!$A$1:$A$366,0),0),"")</f>
        <v>H</v>
      </c>
      <c r="Q23" s="16" t="str">
        <f>IFERROR(HLOOKUP($A23,Sheet26!$A$1:$I$366,MATCH(Sheet25!Q$16,Sheet26!$A$1:$A$366,0),0),"")</f>
        <v>P</v>
      </c>
      <c r="R23" s="16" t="str">
        <f>IFERROR(HLOOKUP($A23,Sheet26!$A$1:$I$366,MATCH(Sheet25!R$16,Sheet26!$A$1:$A$366,0),0),"")</f>
        <v>A</v>
      </c>
      <c r="S23" s="16" t="str">
        <f>IFERROR(HLOOKUP($A23,Sheet26!$A$1:$I$366,MATCH(Sheet25!S$16,Sheet26!$A$1:$A$366,0),0),"")</f>
        <v>A</v>
      </c>
      <c r="T23" s="16" t="str">
        <f>IFERROR(HLOOKUP($A23,Sheet26!$A$1:$I$366,MATCH(Sheet25!T$16,Sheet26!$A$1:$A$366,0),0),"")</f>
        <v>L</v>
      </c>
      <c r="U23" s="16" t="str">
        <f>IFERROR(HLOOKUP($A23,Sheet26!$A$1:$I$366,MATCH(Sheet25!U$16,Sheet26!$A$1:$A$366,0),0),"")</f>
        <v>P</v>
      </c>
      <c r="V23" s="16" t="str">
        <f>IFERROR(HLOOKUP($A23,Sheet26!$A$1:$I$366,MATCH(Sheet25!V$16,Sheet26!$A$1:$A$366,0),0),"")</f>
        <v>A</v>
      </c>
      <c r="W23" s="16" t="str">
        <f>IFERROR(HLOOKUP($A23,Sheet26!$A$1:$I$366,MATCH(Sheet25!W$16,Sheet26!$A$1:$A$366,0),0),"")</f>
        <v>H</v>
      </c>
      <c r="X23" s="16" t="str">
        <f>IFERROR(HLOOKUP($A23,Sheet26!$A$1:$I$366,MATCH(Sheet25!X$16,Sheet26!$A$1:$A$366,0),0),"")</f>
        <v>L</v>
      </c>
      <c r="Y23" s="16" t="str">
        <f>IFERROR(HLOOKUP($A23,Sheet26!$A$1:$I$366,MATCH(Sheet25!Y$16,Sheet26!$A$1:$A$366,0),0),"")</f>
        <v>L</v>
      </c>
      <c r="Z23" s="16" t="str">
        <f>IFERROR(HLOOKUP($A23,Sheet26!$A$1:$I$366,MATCH(Sheet25!Z$16,Sheet26!$A$1:$A$366,0),0),"")</f>
        <v>L</v>
      </c>
      <c r="AA23" s="16" t="str">
        <f>IFERROR(HLOOKUP($A23,Sheet26!$A$1:$I$366,MATCH(Sheet25!AA$16,Sheet26!$A$1:$A$366,0),0),"")</f>
        <v>L</v>
      </c>
      <c r="AB23" s="16" t="str">
        <f>IFERROR(HLOOKUP($A23,Sheet26!$A$1:$I$366,MATCH(Sheet25!AB$16,Sheet26!$A$1:$A$366,0),0),"")</f>
        <v>P</v>
      </c>
      <c r="AC23" s="16" t="str">
        <f>IFERROR(HLOOKUP($A23,Sheet26!$A$1:$I$366,MATCH(Sheet25!AC$16,Sheet26!$A$1:$A$366,0),0),"")</f>
        <v>L</v>
      </c>
      <c r="AD23" s="16" t="str">
        <f>IFERROR(HLOOKUP($A23,Sheet26!$A$1:$I$366,MATCH(Sheet25!AD$16,Sheet26!$A$1:$A$366,0),0),"")</f>
        <v>H</v>
      </c>
      <c r="AE23" s="16" t="str">
        <f>IFERROR(HLOOKUP($A23,Sheet26!$A$1:$I$366,MATCH(Sheet25!AE$16,Sheet26!$A$1:$A$366,0),0),"")</f>
        <v>A</v>
      </c>
      <c r="AF23" s="16" t="str">
        <f>IFERROR(HLOOKUP($A23,Sheet26!$A$1:$I$366,MATCH(Sheet25!AF$16,Sheet26!$A$1:$A$366,0),0),"")</f>
        <v>P</v>
      </c>
      <c r="AG23">
        <f>COUNTIFS($B23:$AF23,LEFT(AG$21,1))</f>
        <v>11</v>
      </c>
      <c r="AH23">
        <f t="shared" si="3"/>
        <v>6</v>
      </c>
      <c r="AI23">
        <f t="shared" si="3"/>
        <v>9</v>
      </c>
      <c r="AJ23">
        <f t="shared" si="3"/>
        <v>5</v>
      </c>
      <c r="AK23" s="11">
        <f t="shared" ref="AK23:AK30" si="4">AG23+AH23+AI23</f>
        <v>26</v>
      </c>
      <c r="AL23" s="20">
        <f t="shared" ref="AL23:AL30" si="5">AG23/AK23*100</f>
        <v>42.307692307692307</v>
      </c>
    </row>
    <row r="24" spans="1:38" x14ac:dyDescent="0.25">
      <c r="A24" t="s">
        <v>64</v>
      </c>
      <c r="B24" s="16" t="str">
        <f>IFERROR(HLOOKUP($A24,Sheet26!$A$1:$I$366,MATCH(Sheet25!B$16,Sheet26!$A$1:$A$366,0),0),"")</f>
        <v>H</v>
      </c>
      <c r="C24" s="16" t="str">
        <f>IFERROR(HLOOKUP($A24,Sheet26!$A$1:$I$366,MATCH(Sheet25!C$16,Sheet26!$A$1:$A$366,0),0),"")</f>
        <v>A</v>
      </c>
      <c r="D24" s="16" t="str">
        <f>IFERROR(HLOOKUP($A24,Sheet26!$A$1:$I$366,MATCH(Sheet25!D$16,Sheet26!$A$1:$A$366,0),0),"")</f>
        <v>A</v>
      </c>
      <c r="E24" s="16" t="str">
        <f>IFERROR(HLOOKUP($A24,Sheet26!$A$1:$I$366,MATCH(Sheet25!E$16,Sheet26!$A$1:$A$366,0),0),"")</f>
        <v>P</v>
      </c>
      <c r="F24" s="16" t="str">
        <f>IFERROR(HLOOKUP($A24,Sheet26!$A$1:$I$366,MATCH(Sheet25!F$16,Sheet26!$A$1:$A$366,0),0),"")</f>
        <v>P</v>
      </c>
      <c r="G24" s="16" t="str">
        <f>IFERROR(HLOOKUP($A24,Sheet26!$A$1:$I$366,MATCH(Sheet25!G$16,Sheet26!$A$1:$A$366,0),0),"")</f>
        <v>L</v>
      </c>
      <c r="H24" s="16" t="str">
        <f>IFERROR(HLOOKUP($A24,Sheet26!$A$1:$I$366,MATCH(Sheet25!H$16,Sheet26!$A$1:$A$366,0),0),"")</f>
        <v>P</v>
      </c>
      <c r="I24" s="16" t="str">
        <f>IFERROR(HLOOKUP($A24,Sheet26!$A$1:$I$366,MATCH(Sheet25!I$16,Sheet26!$A$1:$A$366,0),0),"")</f>
        <v>H</v>
      </c>
      <c r="J24" s="16" t="str">
        <f>IFERROR(HLOOKUP($A24,Sheet26!$A$1:$I$366,MATCH(Sheet25!J$16,Sheet26!$A$1:$A$366,0),0),"")</f>
        <v>A</v>
      </c>
      <c r="K24" s="16" t="str">
        <f>IFERROR(HLOOKUP($A24,Sheet26!$A$1:$I$366,MATCH(Sheet25!K$16,Sheet26!$A$1:$A$366,0),0),"")</f>
        <v>P</v>
      </c>
      <c r="L24" s="16" t="str">
        <f>IFERROR(HLOOKUP($A24,Sheet26!$A$1:$I$366,MATCH(Sheet25!L$16,Sheet26!$A$1:$A$366,0),0),"")</f>
        <v>L</v>
      </c>
      <c r="M24" s="16" t="str">
        <f>IFERROR(HLOOKUP($A24,Sheet26!$A$1:$I$366,MATCH(Sheet25!M$16,Sheet26!$A$1:$A$366,0),0),"")</f>
        <v>L</v>
      </c>
      <c r="N24" s="16" t="str">
        <f>IFERROR(HLOOKUP($A24,Sheet26!$A$1:$I$366,MATCH(Sheet25!N$16,Sheet26!$A$1:$A$366,0),0),"")</f>
        <v>P</v>
      </c>
      <c r="O24" s="16" t="str">
        <f>IFERROR(HLOOKUP($A24,Sheet26!$A$1:$I$366,MATCH(Sheet25!O$16,Sheet26!$A$1:$A$366,0),0),"")</f>
        <v>P</v>
      </c>
      <c r="P24" s="16" t="str">
        <f>IFERROR(HLOOKUP($A24,Sheet26!$A$1:$I$366,MATCH(Sheet25!P$16,Sheet26!$A$1:$A$366,0),0),"")</f>
        <v>H</v>
      </c>
      <c r="Q24" s="16" t="str">
        <f>IFERROR(HLOOKUP($A24,Sheet26!$A$1:$I$366,MATCH(Sheet25!Q$16,Sheet26!$A$1:$A$366,0),0),"")</f>
        <v>A</v>
      </c>
      <c r="R24" s="16" t="str">
        <f>IFERROR(HLOOKUP($A24,Sheet26!$A$1:$I$366,MATCH(Sheet25!R$16,Sheet26!$A$1:$A$366,0),0),"")</f>
        <v>A</v>
      </c>
      <c r="S24" s="16" t="str">
        <f>IFERROR(HLOOKUP($A24,Sheet26!$A$1:$I$366,MATCH(Sheet25!S$16,Sheet26!$A$1:$A$366,0),0),"")</f>
        <v>P</v>
      </c>
      <c r="T24" s="16" t="str">
        <f>IFERROR(HLOOKUP($A24,Sheet26!$A$1:$I$366,MATCH(Sheet25!T$16,Sheet26!$A$1:$A$366,0),0),"")</f>
        <v>P</v>
      </c>
      <c r="U24" s="16" t="str">
        <f>IFERROR(HLOOKUP($A24,Sheet26!$A$1:$I$366,MATCH(Sheet25!U$16,Sheet26!$A$1:$A$366,0),0),"")</f>
        <v>A</v>
      </c>
      <c r="V24" s="16" t="str">
        <f>IFERROR(HLOOKUP($A24,Sheet26!$A$1:$I$366,MATCH(Sheet25!V$16,Sheet26!$A$1:$A$366,0),0),"")</f>
        <v>P</v>
      </c>
      <c r="W24" s="16" t="str">
        <f>IFERROR(HLOOKUP($A24,Sheet26!$A$1:$I$366,MATCH(Sheet25!W$16,Sheet26!$A$1:$A$366,0),0),"")</f>
        <v>H</v>
      </c>
      <c r="X24" s="16" t="str">
        <f>IFERROR(HLOOKUP($A24,Sheet26!$A$1:$I$366,MATCH(Sheet25!X$16,Sheet26!$A$1:$A$366,0),0),"")</f>
        <v>P</v>
      </c>
      <c r="Y24" s="16" t="str">
        <f>IFERROR(HLOOKUP($A24,Sheet26!$A$1:$I$366,MATCH(Sheet25!Y$16,Sheet26!$A$1:$A$366,0),0),"")</f>
        <v>L</v>
      </c>
      <c r="Z24" s="16" t="str">
        <f>IFERROR(HLOOKUP($A24,Sheet26!$A$1:$I$366,MATCH(Sheet25!Z$16,Sheet26!$A$1:$A$366,0),0),"")</f>
        <v>P</v>
      </c>
      <c r="AA24" s="16" t="str">
        <f>IFERROR(HLOOKUP($A24,Sheet26!$A$1:$I$366,MATCH(Sheet25!AA$16,Sheet26!$A$1:$A$366,0),0),"")</f>
        <v>A</v>
      </c>
      <c r="AB24" s="16" t="str">
        <f>IFERROR(HLOOKUP($A24,Sheet26!$A$1:$I$366,MATCH(Sheet25!AB$16,Sheet26!$A$1:$A$366,0),0),"")</f>
        <v>P</v>
      </c>
      <c r="AC24" s="16" t="str">
        <f>IFERROR(HLOOKUP($A24,Sheet26!$A$1:$I$366,MATCH(Sheet25!AC$16,Sheet26!$A$1:$A$366,0),0),"")</f>
        <v>P</v>
      </c>
      <c r="AD24" s="16" t="str">
        <f>IFERROR(HLOOKUP($A24,Sheet26!$A$1:$I$366,MATCH(Sheet25!AD$16,Sheet26!$A$1:$A$366,0),0),"")</f>
        <v>H</v>
      </c>
      <c r="AE24" s="16" t="str">
        <f>IFERROR(HLOOKUP($A24,Sheet26!$A$1:$I$366,MATCH(Sheet25!AE$16,Sheet26!$A$1:$A$366,0),0),"")</f>
        <v>A</v>
      </c>
      <c r="AF24" s="16" t="str">
        <f>IFERROR(HLOOKUP($A24,Sheet26!$A$1:$I$366,MATCH(Sheet25!AF$16,Sheet26!$A$1:$A$366,0),0),"")</f>
        <v>L</v>
      </c>
      <c r="AG24">
        <f t="shared" ref="AG24:AG30" si="6">COUNTIFS($B24:$AF24,LEFT(AG$21,1))</f>
        <v>13</v>
      </c>
      <c r="AH24">
        <f t="shared" si="3"/>
        <v>8</v>
      </c>
      <c r="AI24">
        <f t="shared" si="3"/>
        <v>5</v>
      </c>
      <c r="AJ24">
        <f t="shared" si="3"/>
        <v>5</v>
      </c>
      <c r="AK24" s="11">
        <f t="shared" si="4"/>
        <v>26</v>
      </c>
      <c r="AL24" s="20">
        <f>AG24/AK24*100</f>
        <v>50</v>
      </c>
    </row>
    <row r="25" spans="1:38" x14ac:dyDescent="0.25">
      <c r="A25" t="s">
        <v>133</v>
      </c>
      <c r="B25" s="16" t="str">
        <f>IFERROR(HLOOKUP($A25,Sheet26!$A$1:$I$366,MATCH(Sheet25!B$16,Sheet26!$A$1:$A$366,0),0),"")</f>
        <v>H</v>
      </c>
      <c r="C25" s="16" t="str">
        <f>IFERROR(HLOOKUP($A25,Sheet26!$A$1:$I$366,MATCH(Sheet25!C$16,Sheet26!$A$1:$A$366,0),0),"")</f>
        <v>L</v>
      </c>
      <c r="D25" s="16" t="str">
        <f>IFERROR(HLOOKUP($A25,Sheet26!$A$1:$I$366,MATCH(Sheet25!D$16,Sheet26!$A$1:$A$366,0),0),"")</f>
        <v>L</v>
      </c>
      <c r="E25" s="16" t="str">
        <f>IFERROR(HLOOKUP($A25,Sheet26!$A$1:$I$366,MATCH(Sheet25!E$16,Sheet26!$A$1:$A$366,0),0),"")</f>
        <v>P</v>
      </c>
      <c r="F25" s="16" t="str">
        <f>IFERROR(HLOOKUP($A25,Sheet26!$A$1:$I$366,MATCH(Sheet25!F$16,Sheet26!$A$1:$A$366,0),0),"")</f>
        <v>P</v>
      </c>
      <c r="G25" s="16" t="str">
        <f>IFERROR(HLOOKUP($A25,Sheet26!$A$1:$I$366,MATCH(Sheet25!G$16,Sheet26!$A$1:$A$366,0),0),"")</f>
        <v>P</v>
      </c>
      <c r="H25" s="16" t="str">
        <f>IFERROR(HLOOKUP($A25,Sheet26!$A$1:$I$366,MATCH(Sheet25!H$16,Sheet26!$A$1:$A$366,0),0),"")</f>
        <v>P</v>
      </c>
      <c r="I25" s="16" t="str">
        <f>IFERROR(HLOOKUP($A25,Sheet26!$A$1:$I$366,MATCH(Sheet25!I$16,Sheet26!$A$1:$A$366,0),0),"")</f>
        <v>H</v>
      </c>
      <c r="J25" s="16" t="str">
        <f>IFERROR(HLOOKUP($A25,Sheet26!$A$1:$I$366,MATCH(Sheet25!J$16,Sheet26!$A$1:$A$366,0),0),"")</f>
        <v>P</v>
      </c>
      <c r="K25" s="16" t="str">
        <f>IFERROR(HLOOKUP($A25,Sheet26!$A$1:$I$366,MATCH(Sheet25!K$16,Sheet26!$A$1:$A$366,0),0),"")</f>
        <v>A</v>
      </c>
      <c r="L25" s="16" t="str">
        <f>IFERROR(HLOOKUP($A25,Sheet26!$A$1:$I$366,MATCH(Sheet25!L$16,Sheet26!$A$1:$A$366,0),0),"")</f>
        <v>P</v>
      </c>
      <c r="M25" s="16" t="str">
        <f>IFERROR(HLOOKUP($A25,Sheet26!$A$1:$I$366,MATCH(Sheet25!M$16,Sheet26!$A$1:$A$366,0),0),"")</f>
        <v>P</v>
      </c>
      <c r="N25" s="16" t="str">
        <f>IFERROR(HLOOKUP($A25,Sheet26!$A$1:$I$366,MATCH(Sheet25!N$16,Sheet26!$A$1:$A$366,0),0),"")</f>
        <v>P</v>
      </c>
      <c r="O25" s="16" t="str">
        <f>IFERROR(HLOOKUP($A25,Sheet26!$A$1:$I$366,MATCH(Sheet25!O$16,Sheet26!$A$1:$A$366,0),0),"")</f>
        <v>A</v>
      </c>
      <c r="P25" s="16" t="str">
        <f>IFERROR(HLOOKUP($A25,Sheet26!$A$1:$I$366,MATCH(Sheet25!P$16,Sheet26!$A$1:$A$366,0),0),"")</f>
        <v>H</v>
      </c>
      <c r="Q25" s="16" t="str">
        <f>IFERROR(HLOOKUP($A25,Sheet26!$A$1:$I$366,MATCH(Sheet25!Q$16,Sheet26!$A$1:$A$366,0),0),"")</f>
        <v>L</v>
      </c>
      <c r="R25" s="16" t="str">
        <f>IFERROR(HLOOKUP($A25,Sheet26!$A$1:$I$366,MATCH(Sheet25!R$16,Sheet26!$A$1:$A$366,0),0),"")</f>
        <v>P</v>
      </c>
      <c r="S25" s="16" t="str">
        <f>IFERROR(HLOOKUP($A25,Sheet26!$A$1:$I$366,MATCH(Sheet25!S$16,Sheet26!$A$1:$A$366,0),0),"")</f>
        <v>P</v>
      </c>
      <c r="T25" s="16" t="str">
        <f>IFERROR(HLOOKUP($A25,Sheet26!$A$1:$I$366,MATCH(Sheet25!T$16,Sheet26!$A$1:$A$366,0),0),"")</f>
        <v>P</v>
      </c>
      <c r="U25" s="16" t="str">
        <f>IFERROR(HLOOKUP($A25,Sheet26!$A$1:$I$366,MATCH(Sheet25!U$16,Sheet26!$A$1:$A$366,0),0),"")</f>
        <v>P</v>
      </c>
      <c r="V25" s="16" t="str">
        <f>IFERROR(HLOOKUP($A25,Sheet26!$A$1:$I$366,MATCH(Sheet25!V$16,Sheet26!$A$1:$A$366,0),0),"")</f>
        <v>P</v>
      </c>
      <c r="W25" s="16" t="str">
        <f>IFERROR(HLOOKUP($A25,Sheet26!$A$1:$I$366,MATCH(Sheet25!W$16,Sheet26!$A$1:$A$366,0),0),"")</f>
        <v>H</v>
      </c>
      <c r="X25" s="16" t="str">
        <f>IFERROR(HLOOKUP($A25,Sheet26!$A$1:$I$366,MATCH(Sheet25!X$16,Sheet26!$A$1:$A$366,0),0),"")</f>
        <v>P</v>
      </c>
      <c r="Y25" s="16" t="str">
        <f>IFERROR(HLOOKUP($A25,Sheet26!$A$1:$I$366,MATCH(Sheet25!Y$16,Sheet26!$A$1:$A$366,0),0),"")</f>
        <v>P</v>
      </c>
      <c r="Z25" s="16" t="str">
        <f>IFERROR(HLOOKUP($A25,Sheet26!$A$1:$I$366,MATCH(Sheet25!Z$16,Sheet26!$A$1:$A$366,0),0),"")</f>
        <v>P</v>
      </c>
      <c r="AA25" s="16" t="str">
        <f>IFERROR(HLOOKUP($A25,Sheet26!$A$1:$I$366,MATCH(Sheet25!AA$16,Sheet26!$A$1:$A$366,0),0),"")</f>
        <v>P</v>
      </c>
      <c r="AB25" s="16" t="str">
        <f>IFERROR(HLOOKUP($A25,Sheet26!$A$1:$I$366,MATCH(Sheet25!AB$16,Sheet26!$A$1:$A$366,0),0),"")</f>
        <v>A</v>
      </c>
      <c r="AC25" s="16" t="str">
        <f>IFERROR(HLOOKUP($A25,Sheet26!$A$1:$I$366,MATCH(Sheet25!AC$16,Sheet26!$A$1:$A$366,0),0),"")</f>
        <v>P</v>
      </c>
      <c r="AD25" s="16" t="str">
        <f>IFERROR(HLOOKUP($A25,Sheet26!$A$1:$I$366,MATCH(Sheet25!AD$16,Sheet26!$A$1:$A$366,0),0),"")</f>
        <v>H</v>
      </c>
      <c r="AE25" s="16" t="str">
        <f>IFERROR(HLOOKUP($A25,Sheet26!$A$1:$I$366,MATCH(Sheet25!AE$16,Sheet26!$A$1:$A$366,0),0),"")</f>
        <v>P</v>
      </c>
      <c r="AF25" s="16" t="str">
        <f>IFERROR(HLOOKUP($A25,Sheet26!$A$1:$I$366,MATCH(Sheet25!AF$16,Sheet26!$A$1:$A$366,0),0),"")</f>
        <v>P</v>
      </c>
      <c r="AG25">
        <f t="shared" si="6"/>
        <v>20</v>
      </c>
      <c r="AH25">
        <f t="shared" si="3"/>
        <v>3</v>
      </c>
      <c r="AI25">
        <f t="shared" si="3"/>
        <v>3</v>
      </c>
      <c r="AJ25">
        <f t="shared" si="3"/>
        <v>5</v>
      </c>
      <c r="AK25" s="11">
        <f t="shared" si="4"/>
        <v>26</v>
      </c>
      <c r="AL25" s="20">
        <f t="shared" si="5"/>
        <v>76.923076923076934</v>
      </c>
    </row>
    <row r="26" spans="1:38" x14ac:dyDescent="0.25">
      <c r="A26" t="s">
        <v>112</v>
      </c>
      <c r="B26" s="16" t="str">
        <f>IFERROR(HLOOKUP($A26,Sheet26!$A$1:$I$366,MATCH(Sheet25!B$16,Sheet26!$A$1:$A$366,0),0),"")</f>
        <v>H</v>
      </c>
      <c r="C26" s="16" t="str">
        <f>IFERROR(HLOOKUP($A26,Sheet26!$A$1:$I$366,MATCH(Sheet25!C$16,Sheet26!$A$1:$A$366,0),0),"")</f>
        <v>P</v>
      </c>
      <c r="D26" s="16" t="str">
        <f>IFERROR(HLOOKUP($A26,Sheet26!$A$1:$I$366,MATCH(Sheet25!D$16,Sheet26!$A$1:$A$366,0),0),"")</f>
        <v>L</v>
      </c>
      <c r="E26" s="16" t="str">
        <f>IFERROR(HLOOKUP($A26,Sheet26!$A$1:$I$366,MATCH(Sheet25!E$16,Sheet26!$A$1:$A$366,0),0),"")</f>
        <v>P</v>
      </c>
      <c r="F26" s="16" t="str">
        <f>IFERROR(HLOOKUP($A26,Sheet26!$A$1:$I$366,MATCH(Sheet25!F$16,Sheet26!$A$1:$A$366,0),0),"")</f>
        <v>P</v>
      </c>
      <c r="G26" s="16" t="str">
        <f>IFERROR(HLOOKUP($A26,Sheet26!$A$1:$I$366,MATCH(Sheet25!G$16,Sheet26!$A$1:$A$366,0),0),"")</f>
        <v>A</v>
      </c>
      <c r="H26" s="16" t="str">
        <f>IFERROR(HLOOKUP($A26,Sheet26!$A$1:$I$366,MATCH(Sheet25!H$16,Sheet26!$A$1:$A$366,0),0),"")</f>
        <v>L</v>
      </c>
      <c r="I26" s="16" t="str">
        <f>IFERROR(HLOOKUP($A26,Sheet26!$A$1:$I$366,MATCH(Sheet25!I$16,Sheet26!$A$1:$A$366,0),0),"")</f>
        <v>H</v>
      </c>
      <c r="J26" s="16" t="str">
        <f>IFERROR(HLOOKUP($A26,Sheet26!$A$1:$I$366,MATCH(Sheet25!J$16,Sheet26!$A$1:$A$366,0),0),"")</f>
        <v>L</v>
      </c>
      <c r="K26" s="16" t="str">
        <f>IFERROR(HLOOKUP($A26,Sheet26!$A$1:$I$366,MATCH(Sheet25!K$16,Sheet26!$A$1:$A$366,0),0),"")</f>
        <v>A</v>
      </c>
      <c r="L26" s="16" t="str">
        <f>IFERROR(HLOOKUP($A26,Sheet26!$A$1:$I$366,MATCH(Sheet25!L$16,Sheet26!$A$1:$A$366,0),0),"")</f>
        <v>P</v>
      </c>
      <c r="M26" s="16" t="str">
        <f>IFERROR(HLOOKUP($A26,Sheet26!$A$1:$I$366,MATCH(Sheet25!M$16,Sheet26!$A$1:$A$366,0),0),"")</f>
        <v>A</v>
      </c>
      <c r="N26" s="16" t="str">
        <f>IFERROR(HLOOKUP($A26,Sheet26!$A$1:$I$366,MATCH(Sheet25!N$16,Sheet26!$A$1:$A$366,0),0),"")</f>
        <v>P</v>
      </c>
      <c r="O26" s="16" t="str">
        <f>IFERROR(HLOOKUP($A26,Sheet26!$A$1:$I$366,MATCH(Sheet25!O$16,Sheet26!$A$1:$A$366,0),0),"")</f>
        <v>P</v>
      </c>
      <c r="P26" s="16" t="str">
        <f>IFERROR(HLOOKUP($A26,Sheet26!$A$1:$I$366,MATCH(Sheet25!P$16,Sheet26!$A$1:$A$366,0),0),"")</f>
        <v>H</v>
      </c>
      <c r="Q26" s="16" t="str">
        <f>IFERROR(HLOOKUP($A26,Sheet26!$A$1:$I$366,MATCH(Sheet25!Q$16,Sheet26!$A$1:$A$366,0),0),"")</f>
        <v>P</v>
      </c>
      <c r="R26" s="16" t="str">
        <f>IFERROR(HLOOKUP($A26,Sheet26!$A$1:$I$366,MATCH(Sheet25!R$16,Sheet26!$A$1:$A$366,0),0),"")</f>
        <v>P</v>
      </c>
      <c r="S26" s="16" t="str">
        <f>IFERROR(HLOOKUP($A26,Sheet26!$A$1:$I$366,MATCH(Sheet25!S$16,Sheet26!$A$1:$A$366,0),0),"")</f>
        <v>A</v>
      </c>
      <c r="T26" s="16" t="str">
        <f>IFERROR(HLOOKUP($A26,Sheet26!$A$1:$I$366,MATCH(Sheet25!T$16,Sheet26!$A$1:$A$366,0),0),"")</f>
        <v>P</v>
      </c>
      <c r="U26" s="16" t="str">
        <f>IFERROR(HLOOKUP($A26,Sheet26!$A$1:$I$366,MATCH(Sheet25!U$16,Sheet26!$A$1:$A$366,0),0),"")</f>
        <v>P</v>
      </c>
      <c r="V26" s="16" t="str">
        <f>IFERROR(HLOOKUP($A26,Sheet26!$A$1:$I$366,MATCH(Sheet25!V$16,Sheet26!$A$1:$A$366,0),0),"")</f>
        <v>P</v>
      </c>
      <c r="W26" s="16" t="str">
        <f>IFERROR(HLOOKUP($A26,Sheet26!$A$1:$I$366,MATCH(Sheet25!W$16,Sheet26!$A$1:$A$366,0),0),"")</f>
        <v>H</v>
      </c>
      <c r="X26" s="16" t="str">
        <f>IFERROR(HLOOKUP($A26,Sheet26!$A$1:$I$366,MATCH(Sheet25!X$16,Sheet26!$A$1:$A$366,0),0),"")</f>
        <v>P</v>
      </c>
      <c r="Y26" s="16" t="str">
        <f>IFERROR(HLOOKUP($A26,Sheet26!$A$1:$I$366,MATCH(Sheet25!Y$16,Sheet26!$A$1:$A$366,0),0),"")</f>
        <v>P</v>
      </c>
      <c r="Z26" s="16" t="str">
        <f>IFERROR(HLOOKUP($A26,Sheet26!$A$1:$I$366,MATCH(Sheet25!Z$16,Sheet26!$A$1:$A$366,0),0),"")</f>
        <v>P</v>
      </c>
      <c r="AA26" s="16" t="str">
        <f>IFERROR(HLOOKUP($A26,Sheet26!$A$1:$I$366,MATCH(Sheet25!AA$16,Sheet26!$A$1:$A$366,0),0),"")</f>
        <v>P</v>
      </c>
      <c r="AB26" s="16" t="str">
        <f>IFERROR(HLOOKUP($A26,Sheet26!$A$1:$I$366,MATCH(Sheet25!AB$16,Sheet26!$A$1:$A$366,0),0),"")</f>
        <v>P</v>
      </c>
      <c r="AC26" s="16" t="str">
        <f>IFERROR(HLOOKUP($A26,Sheet26!$A$1:$I$366,MATCH(Sheet25!AC$16,Sheet26!$A$1:$A$366,0),0),"")</f>
        <v>L</v>
      </c>
      <c r="AD26" s="16" t="str">
        <f>IFERROR(HLOOKUP($A26,Sheet26!$A$1:$I$366,MATCH(Sheet25!AD$16,Sheet26!$A$1:$A$366,0),0),"")</f>
        <v>H</v>
      </c>
      <c r="AE26" s="16" t="str">
        <f>IFERROR(HLOOKUP($A26,Sheet26!$A$1:$I$366,MATCH(Sheet25!AE$16,Sheet26!$A$1:$A$366,0),0),"")</f>
        <v>P</v>
      </c>
      <c r="AF26" s="16" t="str">
        <f>IFERROR(HLOOKUP($A26,Sheet26!$A$1:$I$366,MATCH(Sheet25!AF$16,Sheet26!$A$1:$A$366,0),0),"")</f>
        <v>P</v>
      </c>
      <c r="AG26">
        <f t="shared" si="6"/>
        <v>18</v>
      </c>
      <c r="AH26">
        <f t="shared" si="3"/>
        <v>4</v>
      </c>
      <c r="AI26">
        <f t="shared" si="3"/>
        <v>4</v>
      </c>
      <c r="AJ26">
        <f t="shared" si="3"/>
        <v>5</v>
      </c>
      <c r="AK26" s="11">
        <f t="shared" si="4"/>
        <v>26</v>
      </c>
      <c r="AL26" s="20">
        <f t="shared" si="5"/>
        <v>69.230769230769226</v>
      </c>
    </row>
    <row r="27" spans="1:38" x14ac:dyDescent="0.25">
      <c r="A27" t="s">
        <v>189</v>
      </c>
      <c r="B27" s="16" t="str">
        <f>IFERROR(HLOOKUP($A27,Sheet26!$A$1:$I$366,MATCH(Sheet25!B$16,Sheet26!$A$1:$A$366,0),0),"")</f>
        <v>H</v>
      </c>
      <c r="C27" s="16" t="str">
        <f>IFERROR(HLOOKUP($A27,Sheet26!$A$1:$I$366,MATCH(Sheet25!C$16,Sheet26!$A$1:$A$366,0),0),"")</f>
        <v>L</v>
      </c>
      <c r="D27" s="16" t="str">
        <f>IFERROR(HLOOKUP($A27,Sheet26!$A$1:$I$366,MATCH(Sheet25!D$16,Sheet26!$A$1:$A$366,0),0),"")</f>
        <v>L</v>
      </c>
      <c r="E27" s="16" t="str">
        <f>IFERROR(HLOOKUP($A27,Sheet26!$A$1:$I$366,MATCH(Sheet25!E$16,Sheet26!$A$1:$A$366,0),0),"")</f>
        <v>L</v>
      </c>
      <c r="F27" s="16" t="str">
        <f>IFERROR(HLOOKUP($A27,Sheet26!$A$1:$I$366,MATCH(Sheet25!F$16,Sheet26!$A$1:$A$366,0),0),"")</f>
        <v>P</v>
      </c>
      <c r="G27" s="16" t="str">
        <f>IFERROR(HLOOKUP($A27,Sheet26!$A$1:$I$366,MATCH(Sheet25!G$16,Sheet26!$A$1:$A$366,0),0),"")</f>
        <v>P</v>
      </c>
      <c r="H27" s="16" t="str">
        <f>IFERROR(HLOOKUP($A27,Sheet26!$A$1:$I$366,MATCH(Sheet25!H$16,Sheet26!$A$1:$A$366,0),0),"")</f>
        <v>P</v>
      </c>
      <c r="I27" s="16" t="str">
        <f>IFERROR(HLOOKUP($A27,Sheet26!$A$1:$I$366,MATCH(Sheet25!I$16,Sheet26!$A$1:$A$366,0),0),"")</f>
        <v>H</v>
      </c>
      <c r="J27" s="16" t="str">
        <f>IFERROR(HLOOKUP($A27,Sheet26!$A$1:$I$366,MATCH(Sheet25!J$16,Sheet26!$A$1:$A$366,0),0),"")</f>
        <v>P</v>
      </c>
      <c r="K27" s="16" t="str">
        <f>IFERROR(HLOOKUP($A27,Sheet26!$A$1:$I$366,MATCH(Sheet25!K$16,Sheet26!$A$1:$A$366,0),0),"")</f>
        <v>P</v>
      </c>
      <c r="L27" s="16" t="str">
        <f>IFERROR(HLOOKUP($A27,Sheet26!$A$1:$I$366,MATCH(Sheet25!L$16,Sheet26!$A$1:$A$366,0),0),"")</f>
        <v>A</v>
      </c>
      <c r="M27" s="16" t="str">
        <f>IFERROR(HLOOKUP($A27,Sheet26!$A$1:$I$366,MATCH(Sheet25!M$16,Sheet26!$A$1:$A$366,0),0),"")</f>
        <v>A</v>
      </c>
      <c r="N27" s="16" t="str">
        <f>IFERROR(HLOOKUP($A27,Sheet26!$A$1:$I$366,MATCH(Sheet25!N$16,Sheet26!$A$1:$A$366,0),0),"")</f>
        <v>A</v>
      </c>
      <c r="O27" s="16" t="str">
        <f>IFERROR(HLOOKUP($A27,Sheet26!$A$1:$I$366,MATCH(Sheet25!O$16,Sheet26!$A$1:$A$366,0),0),"")</f>
        <v>A</v>
      </c>
      <c r="P27" s="16" t="str">
        <f>IFERROR(HLOOKUP($A27,Sheet26!$A$1:$I$366,MATCH(Sheet25!P$16,Sheet26!$A$1:$A$366,0),0),"")</f>
        <v>H</v>
      </c>
      <c r="Q27" s="16" t="str">
        <f>IFERROR(HLOOKUP($A27,Sheet26!$A$1:$I$366,MATCH(Sheet25!Q$16,Sheet26!$A$1:$A$366,0),0),"")</f>
        <v>P</v>
      </c>
      <c r="R27" s="16" t="str">
        <f>IFERROR(HLOOKUP($A27,Sheet26!$A$1:$I$366,MATCH(Sheet25!R$16,Sheet26!$A$1:$A$366,0),0),"")</f>
        <v>A</v>
      </c>
      <c r="S27" s="16" t="str">
        <f>IFERROR(HLOOKUP($A27,Sheet26!$A$1:$I$366,MATCH(Sheet25!S$16,Sheet26!$A$1:$A$366,0),0),"")</f>
        <v>L</v>
      </c>
      <c r="T27" s="16" t="str">
        <f>IFERROR(HLOOKUP($A27,Sheet26!$A$1:$I$366,MATCH(Sheet25!T$16,Sheet26!$A$1:$A$366,0),0),"")</f>
        <v>A</v>
      </c>
      <c r="U27" s="16" t="str">
        <f>IFERROR(HLOOKUP($A27,Sheet26!$A$1:$I$366,MATCH(Sheet25!U$16,Sheet26!$A$1:$A$366,0),0),"")</f>
        <v>A</v>
      </c>
      <c r="V27" s="16" t="str">
        <f>IFERROR(HLOOKUP($A27,Sheet26!$A$1:$I$366,MATCH(Sheet25!V$16,Sheet26!$A$1:$A$366,0),0),"")</f>
        <v>P</v>
      </c>
      <c r="W27" s="16" t="str">
        <f>IFERROR(HLOOKUP($A27,Sheet26!$A$1:$I$366,MATCH(Sheet25!W$16,Sheet26!$A$1:$A$366,0),0),"")</f>
        <v>H</v>
      </c>
      <c r="X27" s="16" t="str">
        <f>IFERROR(HLOOKUP($A27,Sheet26!$A$1:$I$366,MATCH(Sheet25!X$16,Sheet26!$A$1:$A$366,0),0),"")</f>
        <v>L</v>
      </c>
      <c r="Y27" s="16" t="str">
        <f>IFERROR(HLOOKUP($A27,Sheet26!$A$1:$I$366,MATCH(Sheet25!Y$16,Sheet26!$A$1:$A$366,0),0),"")</f>
        <v>P</v>
      </c>
      <c r="Z27" s="16" t="str">
        <f>IFERROR(HLOOKUP($A27,Sheet26!$A$1:$I$366,MATCH(Sheet25!Z$16,Sheet26!$A$1:$A$366,0),0),"")</f>
        <v>P</v>
      </c>
      <c r="AA27" s="16" t="str">
        <f>IFERROR(HLOOKUP($A27,Sheet26!$A$1:$I$366,MATCH(Sheet25!AA$16,Sheet26!$A$1:$A$366,0),0),"")</f>
        <v>P</v>
      </c>
      <c r="AB27" s="16" t="str">
        <f>IFERROR(HLOOKUP($A27,Sheet26!$A$1:$I$366,MATCH(Sheet25!AB$16,Sheet26!$A$1:$A$366,0),0),"")</f>
        <v>L</v>
      </c>
      <c r="AC27" s="16" t="str">
        <f>IFERROR(HLOOKUP($A27,Sheet26!$A$1:$I$366,MATCH(Sheet25!AC$16,Sheet26!$A$1:$A$366,0),0),"")</f>
        <v>A</v>
      </c>
      <c r="AD27" s="16" t="str">
        <f>IFERROR(HLOOKUP($A27,Sheet26!$A$1:$I$366,MATCH(Sheet25!AD$16,Sheet26!$A$1:$A$366,0),0),"")</f>
        <v>H</v>
      </c>
      <c r="AE27" s="16" t="str">
        <f>IFERROR(HLOOKUP($A27,Sheet26!$A$1:$I$366,MATCH(Sheet25!AE$16,Sheet26!$A$1:$A$366,0),0),"")</f>
        <v>P</v>
      </c>
      <c r="AF27" s="16" t="str">
        <f>IFERROR(HLOOKUP($A27,Sheet26!$A$1:$I$366,MATCH(Sheet25!AF$16,Sheet26!$A$1:$A$366,0),0),"")</f>
        <v>P</v>
      </c>
      <c r="AG27">
        <f t="shared" si="6"/>
        <v>12</v>
      </c>
      <c r="AH27">
        <f t="shared" si="3"/>
        <v>8</v>
      </c>
      <c r="AI27">
        <f t="shared" si="3"/>
        <v>6</v>
      </c>
      <c r="AJ27">
        <f t="shared" si="3"/>
        <v>5</v>
      </c>
      <c r="AK27" s="11">
        <f t="shared" si="4"/>
        <v>26</v>
      </c>
      <c r="AL27" s="20">
        <f t="shared" si="5"/>
        <v>46.153846153846153</v>
      </c>
    </row>
    <row r="28" spans="1:38" x14ac:dyDescent="0.25">
      <c r="A28" t="s">
        <v>139</v>
      </c>
      <c r="B28" s="16" t="str">
        <f>IFERROR(HLOOKUP($A28,Sheet26!$A$1:$I$366,MATCH(Sheet25!B$16,Sheet26!$A$1:$A$366,0),0),"")</f>
        <v>H</v>
      </c>
      <c r="C28" s="16" t="str">
        <f>IFERROR(HLOOKUP($A28,Sheet26!$A$1:$I$366,MATCH(Sheet25!C$16,Sheet26!$A$1:$A$366,0),0),"")</f>
        <v>P</v>
      </c>
      <c r="D28" s="16" t="str">
        <f>IFERROR(HLOOKUP($A28,Sheet26!$A$1:$I$366,MATCH(Sheet25!D$16,Sheet26!$A$1:$A$366,0),0),"")</f>
        <v>A</v>
      </c>
      <c r="E28" s="16" t="str">
        <f>IFERROR(HLOOKUP($A28,Sheet26!$A$1:$I$366,MATCH(Sheet25!E$16,Sheet26!$A$1:$A$366,0),0),"")</f>
        <v>P</v>
      </c>
      <c r="F28" s="16" t="str">
        <f>IFERROR(HLOOKUP($A28,Sheet26!$A$1:$I$366,MATCH(Sheet25!F$16,Sheet26!$A$1:$A$366,0),0),"")</f>
        <v>P</v>
      </c>
      <c r="G28" s="16" t="str">
        <f>IFERROR(HLOOKUP($A28,Sheet26!$A$1:$I$366,MATCH(Sheet25!G$16,Sheet26!$A$1:$A$366,0),0),"")</f>
        <v>P</v>
      </c>
      <c r="H28" s="16" t="str">
        <f>IFERROR(HLOOKUP($A28,Sheet26!$A$1:$I$366,MATCH(Sheet25!H$16,Sheet26!$A$1:$A$366,0),0),"")</f>
        <v>L</v>
      </c>
      <c r="I28" s="16" t="str">
        <f>IFERROR(HLOOKUP($A28,Sheet26!$A$1:$I$366,MATCH(Sheet25!I$16,Sheet26!$A$1:$A$366,0),0),"")</f>
        <v>H</v>
      </c>
      <c r="J28" s="16" t="str">
        <f>IFERROR(HLOOKUP($A28,Sheet26!$A$1:$I$366,MATCH(Sheet25!J$16,Sheet26!$A$1:$A$366,0),0),"")</f>
        <v>A</v>
      </c>
      <c r="K28" s="16" t="str">
        <f>IFERROR(HLOOKUP($A28,Sheet26!$A$1:$I$366,MATCH(Sheet25!K$16,Sheet26!$A$1:$A$366,0),0),"")</f>
        <v>P</v>
      </c>
      <c r="L28" s="16" t="str">
        <f>IFERROR(HLOOKUP($A28,Sheet26!$A$1:$I$366,MATCH(Sheet25!L$16,Sheet26!$A$1:$A$366,0),0),"")</f>
        <v>P</v>
      </c>
      <c r="M28" s="16" t="str">
        <f>IFERROR(HLOOKUP($A28,Sheet26!$A$1:$I$366,MATCH(Sheet25!M$16,Sheet26!$A$1:$A$366,0),0),"")</f>
        <v>P</v>
      </c>
      <c r="N28" s="16" t="str">
        <f>IFERROR(HLOOKUP($A28,Sheet26!$A$1:$I$366,MATCH(Sheet25!N$16,Sheet26!$A$1:$A$366,0),0),"")</f>
        <v>P</v>
      </c>
      <c r="O28" s="16" t="str">
        <f>IFERROR(HLOOKUP($A28,Sheet26!$A$1:$I$366,MATCH(Sheet25!O$16,Sheet26!$A$1:$A$366,0),0),"")</f>
        <v>P</v>
      </c>
      <c r="P28" s="16" t="str">
        <f>IFERROR(HLOOKUP($A28,Sheet26!$A$1:$I$366,MATCH(Sheet25!P$16,Sheet26!$A$1:$A$366,0),0),"")</f>
        <v>H</v>
      </c>
      <c r="Q28" s="16" t="str">
        <f>IFERROR(HLOOKUP($A28,Sheet26!$A$1:$I$366,MATCH(Sheet25!Q$16,Sheet26!$A$1:$A$366,0),0),"")</f>
        <v>P</v>
      </c>
      <c r="R28" s="16" t="str">
        <f>IFERROR(HLOOKUP($A28,Sheet26!$A$1:$I$366,MATCH(Sheet25!R$16,Sheet26!$A$1:$A$366,0),0),"")</f>
        <v>P</v>
      </c>
      <c r="S28" s="16" t="str">
        <f>IFERROR(HLOOKUP($A28,Sheet26!$A$1:$I$366,MATCH(Sheet25!S$16,Sheet26!$A$1:$A$366,0),0),"")</f>
        <v>P</v>
      </c>
      <c r="T28" s="16" t="str">
        <f>IFERROR(HLOOKUP($A28,Sheet26!$A$1:$I$366,MATCH(Sheet25!T$16,Sheet26!$A$1:$A$366,0),0),"")</f>
        <v>P</v>
      </c>
      <c r="U28" s="16" t="str">
        <f>IFERROR(HLOOKUP($A28,Sheet26!$A$1:$I$366,MATCH(Sheet25!U$16,Sheet26!$A$1:$A$366,0),0),"")</f>
        <v>P</v>
      </c>
      <c r="V28" s="16" t="str">
        <f>IFERROR(HLOOKUP($A28,Sheet26!$A$1:$I$366,MATCH(Sheet25!V$16,Sheet26!$A$1:$A$366,0),0),"")</f>
        <v>P</v>
      </c>
      <c r="W28" s="16" t="str">
        <f>IFERROR(HLOOKUP($A28,Sheet26!$A$1:$I$366,MATCH(Sheet25!W$16,Sheet26!$A$1:$A$366,0),0),"")</f>
        <v>H</v>
      </c>
      <c r="X28" s="16" t="str">
        <f>IFERROR(HLOOKUP($A28,Sheet26!$A$1:$I$366,MATCH(Sheet25!X$16,Sheet26!$A$1:$A$366,0),0),"")</f>
        <v>P</v>
      </c>
      <c r="Y28" s="16" t="str">
        <f>IFERROR(HLOOKUP($A28,Sheet26!$A$1:$I$366,MATCH(Sheet25!Y$16,Sheet26!$A$1:$A$366,0),0),"")</f>
        <v>P</v>
      </c>
      <c r="Z28" s="16" t="str">
        <f>IFERROR(HLOOKUP($A28,Sheet26!$A$1:$I$366,MATCH(Sheet25!Z$16,Sheet26!$A$1:$A$366,0),0),"")</f>
        <v>A</v>
      </c>
      <c r="AA28" s="16" t="str">
        <f>IFERROR(HLOOKUP($A28,Sheet26!$A$1:$I$366,MATCH(Sheet25!AA$16,Sheet26!$A$1:$A$366,0),0),"")</f>
        <v>L</v>
      </c>
      <c r="AB28" s="16" t="str">
        <f>IFERROR(HLOOKUP($A28,Sheet26!$A$1:$I$366,MATCH(Sheet25!AB$16,Sheet26!$A$1:$A$366,0),0),"")</f>
        <v>L</v>
      </c>
      <c r="AC28" s="16" t="str">
        <f>IFERROR(HLOOKUP($A28,Sheet26!$A$1:$I$366,MATCH(Sheet25!AC$16,Sheet26!$A$1:$A$366,0),0),"")</f>
        <v>P</v>
      </c>
      <c r="AD28" s="16" t="str">
        <f>IFERROR(HLOOKUP($A28,Sheet26!$A$1:$I$366,MATCH(Sheet25!AD$16,Sheet26!$A$1:$A$366,0),0),"")</f>
        <v>H</v>
      </c>
      <c r="AE28" s="16" t="str">
        <f>IFERROR(HLOOKUP($A28,Sheet26!$A$1:$I$366,MATCH(Sheet25!AE$16,Sheet26!$A$1:$A$366,0),0),"")</f>
        <v>P</v>
      </c>
      <c r="AF28" s="16" t="str">
        <f>IFERROR(HLOOKUP($A28,Sheet26!$A$1:$I$366,MATCH(Sheet25!AF$16,Sheet26!$A$1:$A$366,0),0),"")</f>
        <v>A</v>
      </c>
      <c r="AG28">
        <f t="shared" si="6"/>
        <v>19</v>
      </c>
      <c r="AH28">
        <f t="shared" si="3"/>
        <v>4</v>
      </c>
      <c r="AI28">
        <f t="shared" si="3"/>
        <v>3</v>
      </c>
      <c r="AJ28">
        <f t="shared" si="3"/>
        <v>5</v>
      </c>
      <c r="AK28" s="11">
        <f t="shared" si="4"/>
        <v>26</v>
      </c>
      <c r="AL28" s="20">
        <f t="shared" si="5"/>
        <v>73.076923076923066</v>
      </c>
    </row>
    <row r="29" spans="1:38" x14ac:dyDescent="0.25">
      <c r="A29" t="s">
        <v>322</v>
      </c>
      <c r="B29" s="16" t="str">
        <f>IFERROR(HLOOKUP($A29,Sheet26!$A$1:$I$366,MATCH(Sheet25!B$16,Sheet26!$A$1:$A$366,0),0),"")</f>
        <v>H</v>
      </c>
      <c r="C29" s="16" t="str">
        <f>IFERROR(HLOOKUP($A29,Sheet26!$A$1:$I$366,MATCH(Sheet25!C$16,Sheet26!$A$1:$A$366,0),0),"")</f>
        <v>A</v>
      </c>
      <c r="D29" s="16" t="str">
        <f>IFERROR(HLOOKUP($A29,Sheet26!$A$1:$I$366,MATCH(Sheet25!D$16,Sheet26!$A$1:$A$366,0),0),"")</f>
        <v>L</v>
      </c>
      <c r="E29" s="16" t="str">
        <f>IFERROR(HLOOKUP($A29,Sheet26!$A$1:$I$366,MATCH(Sheet25!E$16,Sheet26!$A$1:$A$366,0),0),"")</f>
        <v>A</v>
      </c>
      <c r="F29" s="16" t="str">
        <f>IFERROR(HLOOKUP($A29,Sheet26!$A$1:$I$366,MATCH(Sheet25!F$16,Sheet26!$A$1:$A$366,0),0),"")</f>
        <v>P</v>
      </c>
      <c r="G29" s="16" t="str">
        <f>IFERROR(HLOOKUP($A29,Sheet26!$A$1:$I$366,MATCH(Sheet25!G$16,Sheet26!$A$1:$A$366,0),0),"")</f>
        <v>P</v>
      </c>
      <c r="H29" s="16" t="str">
        <f>IFERROR(HLOOKUP($A29,Sheet26!$A$1:$I$366,MATCH(Sheet25!H$16,Sheet26!$A$1:$A$366,0),0),"")</f>
        <v>P</v>
      </c>
      <c r="I29" s="16" t="str">
        <f>IFERROR(HLOOKUP($A29,Sheet26!$A$1:$I$366,MATCH(Sheet25!I$16,Sheet26!$A$1:$A$366,0),0),"")</f>
        <v>H</v>
      </c>
      <c r="J29" s="16" t="str">
        <f>IFERROR(HLOOKUP($A29,Sheet26!$A$1:$I$366,MATCH(Sheet25!J$16,Sheet26!$A$1:$A$366,0),0),"")</f>
        <v>P</v>
      </c>
      <c r="K29" s="16" t="str">
        <f>IFERROR(HLOOKUP($A29,Sheet26!$A$1:$I$366,MATCH(Sheet25!K$16,Sheet26!$A$1:$A$366,0),0),"")</f>
        <v>P</v>
      </c>
      <c r="L29" s="16" t="str">
        <f>IFERROR(HLOOKUP($A29,Sheet26!$A$1:$I$366,MATCH(Sheet25!L$16,Sheet26!$A$1:$A$366,0),0),"")</f>
        <v>L</v>
      </c>
      <c r="M29" s="16" t="str">
        <f>IFERROR(HLOOKUP($A29,Sheet26!$A$1:$I$366,MATCH(Sheet25!M$16,Sheet26!$A$1:$A$366,0),0),"")</f>
        <v>P</v>
      </c>
      <c r="N29" s="16" t="str">
        <f>IFERROR(HLOOKUP($A29,Sheet26!$A$1:$I$366,MATCH(Sheet25!N$16,Sheet26!$A$1:$A$366,0),0),"")</f>
        <v>A</v>
      </c>
      <c r="O29" s="16" t="str">
        <f>IFERROR(HLOOKUP($A29,Sheet26!$A$1:$I$366,MATCH(Sheet25!O$16,Sheet26!$A$1:$A$366,0),0),"")</f>
        <v>A</v>
      </c>
      <c r="P29" s="16" t="str">
        <f>IFERROR(HLOOKUP($A29,Sheet26!$A$1:$I$366,MATCH(Sheet25!P$16,Sheet26!$A$1:$A$366,0),0),"")</f>
        <v>H</v>
      </c>
      <c r="Q29" s="16" t="str">
        <f>IFERROR(HLOOKUP($A29,Sheet26!$A$1:$I$366,MATCH(Sheet25!Q$16,Sheet26!$A$1:$A$366,0),0),"")</f>
        <v>A</v>
      </c>
      <c r="R29" s="16" t="str">
        <f>IFERROR(HLOOKUP($A29,Sheet26!$A$1:$I$366,MATCH(Sheet25!R$16,Sheet26!$A$1:$A$366,0),0),"")</f>
        <v>P</v>
      </c>
      <c r="S29" s="16" t="str">
        <f>IFERROR(HLOOKUP($A29,Sheet26!$A$1:$I$366,MATCH(Sheet25!S$16,Sheet26!$A$1:$A$366,0),0),"")</f>
        <v>A</v>
      </c>
      <c r="T29" s="16" t="str">
        <f>IFERROR(HLOOKUP($A29,Sheet26!$A$1:$I$366,MATCH(Sheet25!T$16,Sheet26!$A$1:$A$366,0),0),"")</f>
        <v>A</v>
      </c>
      <c r="U29" s="16" t="str">
        <f>IFERROR(HLOOKUP($A29,Sheet26!$A$1:$I$366,MATCH(Sheet25!U$16,Sheet26!$A$1:$A$366,0),0),"")</f>
        <v>P</v>
      </c>
      <c r="V29" s="16" t="str">
        <f>IFERROR(HLOOKUP($A29,Sheet26!$A$1:$I$366,MATCH(Sheet25!V$16,Sheet26!$A$1:$A$366,0),0),"")</f>
        <v>P</v>
      </c>
      <c r="W29" s="16" t="str">
        <f>IFERROR(HLOOKUP($A29,Sheet26!$A$1:$I$366,MATCH(Sheet25!W$16,Sheet26!$A$1:$A$366,0),0),"")</f>
        <v>H</v>
      </c>
      <c r="X29" s="16" t="str">
        <f>IFERROR(HLOOKUP($A29,Sheet26!$A$1:$I$366,MATCH(Sheet25!X$16,Sheet26!$A$1:$A$366,0),0),"")</f>
        <v>P</v>
      </c>
      <c r="Y29" s="16" t="str">
        <f>IFERROR(HLOOKUP($A29,Sheet26!$A$1:$I$366,MATCH(Sheet25!Y$16,Sheet26!$A$1:$A$366,0),0),"")</f>
        <v>P</v>
      </c>
      <c r="Z29" s="16" t="str">
        <f>IFERROR(HLOOKUP($A29,Sheet26!$A$1:$I$366,MATCH(Sheet25!Z$16,Sheet26!$A$1:$A$366,0),0),"")</f>
        <v>A</v>
      </c>
      <c r="AA29" s="16" t="str">
        <f>IFERROR(HLOOKUP($A29,Sheet26!$A$1:$I$366,MATCH(Sheet25!AA$16,Sheet26!$A$1:$A$366,0),0),"")</f>
        <v>P</v>
      </c>
      <c r="AB29" s="16" t="str">
        <f>IFERROR(HLOOKUP($A29,Sheet26!$A$1:$I$366,MATCH(Sheet25!AB$16,Sheet26!$A$1:$A$366,0),0),"")</f>
        <v>L</v>
      </c>
      <c r="AC29" s="16" t="str">
        <f>IFERROR(HLOOKUP($A29,Sheet26!$A$1:$I$366,MATCH(Sheet25!AC$16,Sheet26!$A$1:$A$366,0),0),"")</f>
        <v>L</v>
      </c>
      <c r="AD29" s="16" t="str">
        <f>IFERROR(HLOOKUP($A29,Sheet26!$A$1:$I$366,MATCH(Sheet25!AD$16,Sheet26!$A$1:$A$366,0),0),"")</f>
        <v>H</v>
      </c>
      <c r="AE29" s="16" t="str">
        <f>IFERROR(HLOOKUP($A29,Sheet26!$A$1:$I$366,MATCH(Sheet25!AE$16,Sheet26!$A$1:$A$366,0),0),"")</f>
        <v>A</v>
      </c>
      <c r="AF29" s="16" t="str">
        <f>IFERROR(HLOOKUP($A29,Sheet26!$A$1:$I$366,MATCH(Sheet25!AF$16,Sheet26!$A$1:$A$366,0),0),"")</f>
        <v>A</v>
      </c>
      <c r="AG29">
        <f t="shared" si="6"/>
        <v>12</v>
      </c>
      <c r="AH29">
        <f t="shared" si="3"/>
        <v>10</v>
      </c>
      <c r="AI29">
        <f t="shared" si="3"/>
        <v>4</v>
      </c>
      <c r="AJ29">
        <f t="shared" si="3"/>
        <v>5</v>
      </c>
      <c r="AK29" s="11">
        <f t="shared" si="4"/>
        <v>26</v>
      </c>
      <c r="AL29" s="20">
        <f t="shared" si="5"/>
        <v>46.153846153846153</v>
      </c>
    </row>
    <row r="30" spans="1:38" x14ac:dyDescent="0.25">
      <c r="A30" t="s">
        <v>322</v>
      </c>
      <c r="B30" s="16" t="str">
        <f>IFERROR(HLOOKUP($A30,Sheet26!$A$1:$I$366,MATCH(Sheet25!B$16,Sheet26!$A$1:$A$366,0),0),"")</f>
        <v>H</v>
      </c>
      <c r="C30" s="16" t="str">
        <f>IFERROR(HLOOKUP($A30,Sheet26!$A$1:$I$366,MATCH(Sheet25!C$16,Sheet26!$A$1:$A$366,0),0),"")</f>
        <v>A</v>
      </c>
      <c r="D30" s="16" t="str">
        <f>IFERROR(HLOOKUP($A30,Sheet26!$A$1:$I$366,MATCH(Sheet25!D$16,Sheet26!$A$1:$A$366,0),0),"")</f>
        <v>L</v>
      </c>
      <c r="E30" s="16" t="str">
        <f>IFERROR(HLOOKUP($A30,Sheet26!$A$1:$I$366,MATCH(Sheet25!E$16,Sheet26!$A$1:$A$366,0),0),"")</f>
        <v>A</v>
      </c>
      <c r="F30" s="16" t="str">
        <f>IFERROR(HLOOKUP($A30,Sheet26!$A$1:$I$366,MATCH(Sheet25!F$16,Sheet26!$A$1:$A$366,0),0),"")</f>
        <v>P</v>
      </c>
      <c r="G30" s="16" t="str">
        <f>IFERROR(HLOOKUP($A30,Sheet26!$A$1:$I$366,MATCH(Sheet25!G$16,Sheet26!$A$1:$A$366,0),0),"")</f>
        <v>P</v>
      </c>
      <c r="H30" s="16" t="str">
        <f>IFERROR(HLOOKUP($A30,Sheet26!$A$1:$I$366,MATCH(Sheet25!H$16,Sheet26!$A$1:$A$366,0),0),"")</f>
        <v>P</v>
      </c>
      <c r="I30" s="16" t="str">
        <f>IFERROR(HLOOKUP($A30,Sheet26!$A$1:$I$366,MATCH(Sheet25!I$16,Sheet26!$A$1:$A$366,0),0),"")</f>
        <v>H</v>
      </c>
      <c r="J30" s="16" t="str">
        <f>IFERROR(HLOOKUP($A30,Sheet26!$A$1:$I$366,MATCH(Sheet25!J$16,Sheet26!$A$1:$A$366,0),0),"")</f>
        <v>P</v>
      </c>
      <c r="K30" s="16" t="str">
        <f>IFERROR(HLOOKUP($A30,Sheet26!$A$1:$I$366,MATCH(Sheet25!K$16,Sheet26!$A$1:$A$366,0),0),"")</f>
        <v>P</v>
      </c>
      <c r="L30" s="16" t="str">
        <f>IFERROR(HLOOKUP($A30,Sheet26!$A$1:$I$366,MATCH(Sheet25!L$16,Sheet26!$A$1:$A$366,0),0),"")</f>
        <v>L</v>
      </c>
      <c r="M30" s="16" t="str">
        <f>IFERROR(HLOOKUP($A30,Sheet26!$A$1:$I$366,MATCH(Sheet25!M$16,Sheet26!$A$1:$A$366,0),0),"")</f>
        <v>P</v>
      </c>
      <c r="N30" s="16" t="str">
        <f>IFERROR(HLOOKUP($A30,Sheet26!$A$1:$I$366,MATCH(Sheet25!N$16,Sheet26!$A$1:$A$366,0),0),"")</f>
        <v>A</v>
      </c>
      <c r="O30" s="16" t="str">
        <f>IFERROR(HLOOKUP($A30,Sheet26!$A$1:$I$366,MATCH(Sheet25!O$16,Sheet26!$A$1:$A$366,0),0),"")</f>
        <v>A</v>
      </c>
      <c r="P30" s="16" t="str">
        <f>IFERROR(HLOOKUP($A30,Sheet26!$A$1:$I$366,MATCH(Sheet25!P$16,Sheet26!$A$1:$A$366,0),0),"")</f>
        <v>H</v>
      </c>
      <c r="Q30" s="16" t="str">
        <f>IFERROR(HLOOKUP($A30,Sheet26!$A$1:$I$366,MATCH(Sheet25!Q$16,Sheet26!$A$1:$A$366,0),0),"")</f>
        <v>A</v>
      </c>
      <c r="R30" s="16" t="str">
        <f>IFERROR(HLOOKUP($A30,Sheet26!$A$1:$I$366,MATCH(Sheet25!R$16,Sheet26!$A$1:$A$366,0),0),"")</f>
        <v>P</v>
      </c>
      <c r="S30" s="16" t="str">
        <f>IFERROR(HLOOKUP($A30,Sheet26!$A$1:$I$366,MATCH(Sheet25!S$16,Sheet26!$A$1:$A$366,0),0),"")</f>
        <v>A</v>
      </c>
      <c r="T30" s="16" t="str">
        <f>IFERROR(HLOOKUP($A30,Sheet26!$A$1:$I$366,MATCH(Sheet25!T$16,Sheet26!$A$1:$A$366,0),0),"")</f>
        <v>A</v>
      </c>
      <c r="U30" s="16" t="str">
        <f>IFERROR(HLOOKUP($A30,Sheet26!$A$1:$I$366,MATCH(Sheet25!U$16,Sheet26!$A$1:$A$366,0),0),"")</f>
        <v>P</v>
      </c>
      <c r="V30" s="16" t="str">
        <f>IFERROR(HLOOKUP($A30,Sheet26!$A$1:$I$366,MATCH(Sheet25!V$16,Sheet26!$A$1:$A$366,0),0),"")</f>
        <v>P</v>
      </c>
      <c r="W30" s="16" t="str">
        <f>IFERROR(HLOOKUP($A30,Sheet26!$A$1:$I$366,MATCH(Sheet25!W$16,Sheet26!$A$1:$A$366,0),0),"")</f>
        <v>H</v>
      </c>
      <c r="X30" s="16" t="str">
        <f>IFERROR(HLOOKUP($A30,Sheet26!$A$1:$I$366,MATCH(Sheet25!X$16,Sheet26!$A$1:$A$366,0),0),"")</f>
        <v>P</v>
      </c>
      <c r="Y30" s="16" t="str">
        <f>IFERROR(HLOOKUP($A30,Sheet26!$A$1:$I$366,MATCH(Sheet25!Y$16,Sheet26!$A$1:$A$366,0),0),"")</f>
        <v>P</v>
      </c>
      <c r="Z30" s="16" t="str">
        <f>IFERROR(HLOOKUP($A30,Sheet26!$A$1:$I$366,MATCH(Sheet25!Z$16,Sheet26!$A$1:$A$366,0),0),"")</f>
        <v>A</v>
      </c>
      <c r="AA30" s="16" t="str">
        <f>IFERROR(HLOOKUP($A30,Sheet26!$A$1:$I$366,MATCH(Sheet25!AA$16,Sheet26!$A$1:$A$366,0),0),"")</f>
        <v>P</v>
      </c>
      <c r="AB30" s="16" t="str">
        <f>IFERROR(HLOOKUP($A30,Sheet26!$A$1:$I$366,MATCH(Sheet25!AB$16,Sheet26!$A$1:$A$366,0),0),"")</f>
        <v>L</v>
      </c>
      <c r="AC30" s="16" t="str">
        <f>IFERROR(HLOOKUP($A30,Sheet26!$A$1:$I$366,MATCH(Sheet25!AC$16,Sheet26!$A$1:$A$366,0),0),"")</f>
        <v>L</v>
      </c>
      <c r="AD30" s="16" t="str">
        <f>IFERROR(HLOOKUP($A30,Sheet26!$A$1:$I$366,MATCH(Sheet25!AD$16,Sheet26!$A$1:$A$366,0),0),"")</f>
        <v>H</v>
      </c>
      <c r="AE30" s="16" t="str">
        <f>IFERROR(HLOOKUP($A30,Sheet26!$A$1:$I$366,MATCH(Sheet25!AE$16,Sheet26!$A$1:$A$366,0),0),"")</f>
        <v>A</v>
      </c>
      <c r="AF30" s="16" t="str">
        <f>IFERROR(HLOOKUP($A30,Sheet26!$A$1:$I$366,MATCH(Sheet25!AF$16,Sheet26!$A$1:$A$366,0),0),"")</f>
        <v>A</v>
      </c>
      <c r="AG30">
        <f t="shared" si="6"/>
        <v>12</v>
      </c>
      <c r="AH30">
        <f t="shared" si="3"/>
        <v>10</v>
      </c>
      <c r="AI30">
        <f t="shared" si="3"/>
        <v>4</v>
      </c>
      <c r="AJ30">
        <f t="shared" si="3"/>
        <v>5</v>
      </c>
      <c r="AK30" s="11">
        <f t="shared" si="4"/>
        <v>26</v>
      </c>
      <c r="AL30" s="20">
        <f t="shared" si="5"/>
        <v>46.153846153846153</v>
      </c>
    </row>
  </sheetData>
  <mergeCells count="39">
    <mergeCell ref="B1:G4"/>
    <mergeCell ref="B5:G8"/>
    <mergeCell ref="H1:M4"/>
    <mergeCell ref="H5:M8"/>
    <mergeCell ref="P1:U4"/>
    <mergeCell ref="L17:L21"/>
    <mergeCell ref="M17:M21"/>
    <mergeCell ref="V1:AA4"/>
    <mergeCell ref="P5:U8"/>
    <mergeCell ref="V5:AA8"/>
    <mergeCell ref="N17:N21"/>
    <mergeCell ref="O17:O21"/>
    <mergeCell ref="P17:P21"/>
    <mergeCell ref="Q17:Q21"/>
    <mergeCell ref="R17:R21"/>
    <mergeCell ref="S17:S21"/>
    <mergeCell ref="T17:T21"/>
    <mergeCell ref="U17:U21"/>
    <mergeCell ref="V17:V21"/>
    <mergeCell ref="W17:W21"/>
    <mergeCell ref="G17:G21"/>
    <mergeCell ref="H17:H21"/>
    <mergeCell ref="I17:I21"/>
    <mergeCell ref="J17:J21"/>
    <mergeCell ref="K17:K21"/>
    <mergeCell ref="B17:B21"/>
    <mergeCell ref="C17:C21"/>
    <mergeCell ref="D17:D21"/>
    <mergeCell ref="E17:E21"/>
    <mergeCell ref="F17:F21"/>
    <mergeCell ref="AC17:AC21"/>
    <mergeCell ref="AD17:AD21"/>
    <mergeCell ref="AE17:AE21"/>
    <mergeCell ref="AF17:AF21"/>
    <mergeCell ref="X17:X21"/>
    <mergeCell ref="Y17:Y21"/>
    <mergeCell ref="Z17:Z21"/>
    <mergeCell ref="AA17:AA21"/>
    <mergeCell ref="AB17:AB21"/>
  </mergeCells>
  <conditionalFormatting sqref="B17:AF21">
    <cfRule type="containsText" dxfId="10" priority="7" operator="containsText" text="saturday">
      <formula>NOT(ISERROR(SEARCH("saturday",B17)))</formula>
    </cfRule>
    <cfRule type="containsText" dxfId="9" priority="9" operator="containsText" text="SUNDAY">
      <formula>NOT(ISERROR(SEARCH("SUNDAY",B17)))</formula>
    </cfRule>
  </conditionalFormatting>
  <conditionalFormatting sqref="AC11">
    <cfRule type="iconSet" priority="6">
      <iconSet iconSet="3Arrows">
        <cfvo type="percent" val="0"/>
        <cfvo type="percent" val="33"/>
        <cfvo type="percent" val="67"/>
      </iconSet>
    </cfRule>
  </conditionalFormatting>
  <conditionalFormatting sqref="B22:AF30">
    <cfRule type="containsText" dxfId="8" priority="2" operator="containsText" text="L">
      <formula>NOT(ISERROR(SEARCH("L",B22)))</formula>
    </cfRule>
    <cfRule type="containsText" dxfId="7" priority="3" operator="containsText" text="H">
      <formula>NOT(ISERROR(SEARCH("H",B22)))</formula>
    </cfRule>
    <cfRule type="containsText" dxfId="6" priority="4" operator="containsText" text="A">
      <formula>NOT(ISERROR(SEARCH("A",B22)))</formula>
    </cfRule>
    <cfRule type="containsText" dxfId="5" priority="5" operator="containsText" text="P">
      <formula>NOT(ISERROR(SEARCH("P",B22)))</formula>
    </cfRule>
  </conditionalFormatting>
  <conditionalFormatting sqref="AG22:AL30">
    <cfRule type="containsText" dxfId="4" priority="1" operator="containsText" text="%">
      <formula>NOT(ISERROR(SEARCH("%",AG22)))</formula>
    </cfRule>
  </conditionalFormatting>
  <dataValidations count="1">
    <dataValidation type="list" allowBlank="1" showInputMessage="1" showErrorMessage="1" sqref="H1:M4" xr:uid="{DEA9BC0C-B3AF-4940-8B96-EE997DD94AA8}">
      <formula1>$AI$1:$AI$12</formula1>
    </dataValidation>
  </dataValidation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CE723-98BB-4309-9B6C-B5A7A1FE2D9F}">
  <sheetPr codeName="Sheet35"/>
  <dimension ref="A1:R366"/>
  <sheetViews>
    <sheetView workbookViewId="0">
      <selection activeCell="M28" sqref="M28"/>
    </sheetView>
  </sheetViews>
  <sheetFormatPr defaultRowHeight="15" x14ac:dyDescent="0.25"/>
  <cols>
    <col min="1" max="1" width="10.42578125" bestFit="1" customWidth="1"/>
    <col min="2" max="2" width="11" bestFit="1" customWidth="1"/>
    <col min="12" max="12" width="14" bestFit="1" customWidth="1"/>
    <col min="13" max="13" width="14.140625" bestFit="1" customWidth="1"/>
    <col min="14" max="14" width="13.7109375" bestFit="1" customWidth="1"/>
    <col min="15" max="15" width="14.140625" bestFit="1" customWidth="1"/>
  </cols>
  <sheetData>
    <row r="1" spans="1:15" x14ac:dyDescent="0.25">
      <c r="A1" t="s">
        <v>323</v>
      </c>
      <c r="B1" t="s">
        <v>63</v>
      </c>
      <c r="C1" t="s">
        <v>187</v>
      </c>
      <c r="D1" t="s">
        <v>64</v>
      </c>
      <c r="E1" t="s">
        <v>133</v>
      </c>
      <c r="F1" t="s">
        <v>112</v>
      </c>
      <c r="G1" t="s">
        <v>189</v>
      </c>
      <c r="H1" t="s">
        <v>139</v>
      </c>
      <c r="I1" t="s">
        <v>322</v>
      </c>
    </row>
    <row r="2" spans="1:15" x14ac:dyDescent="0.25">
      <c r="A2" s="10">
        <v>45383</v>
      </c>
      <c r="B2" t="s">
        <v>275</v>
      </c>
      <c r="C2" t="s">
        <v>271</v>
      </c>
      <c r="D2" t="s">
        <v>271</v>
      </c>
      <c r="E2" t="s">
        <v>275</v>
      </c>
      <c r="F2" t="s">
        <v>271</v>
      </c>
      <c r="G2" t="s">
        <v>275</v>
      </c>
      <c r="H2" t="s">
        <v>271</v>
      </c>
      <c r="I2" t="s">
        <v>275</v>
      </c>
      <c r="L2" t="s">
        <v>330</v>
      </c>
      <c r="M2" t="s">
        <v>331</v>
      </c>
      <c r="N2" t="s">
        <v>332</v>
      </c>
      <c r="O2" t="s">
        <v>333</v>
      </c>
    </row>
    <row r="3" spans="1:15" x14ac:dyDescent="0.25">
      <c r="A3" s="10">
        <v>45384</v>
      </c>
      <c r="B3" t="s">
        <v>275</v>
      </c>
      <c r="C3" t="s">
        <v>260</v>
      </c>
      <c r="D3" t="s">
        <v>275</v>
      </c>
      <c r="E3" t="s">
        <v>275</v>
      </c>
      <c r="F3" t="s">
        <v>271</v>
      </c>
      <c r="G3" t="s">
        <v>275</v>
      </c>
      <c r="H3" t="s">
        <v>275</v>
      </c>
      <c r="I3" t="s">
        <v>275</v>
      </c>
      <c r="K3" t="s">
        <v>63</v>
      </c>
      <c r="L3">
        <f>COUNTIFS(B2:B366,RIGHT(L2,1))</f>
        <v>192</v>
      </c>
      <c r="M3">
        <f t="shared" ref="M3:O3" si="0">COUNTIFS(C2:C366,RIGHT(M2,1))</f>
        <v>72</v>
      </c>
      <c r="N3">
        <f t="shared" si="0"/>
        <v>67</v>
      </c>
      <c r="O3">
        <f t="shared" si="0"/>
        <v>52</v>
      </c>
    </row>
    <row r="4" spans="1:15" x14ac:dyDescent="0.25">
      <c r="A4" s="10">
        <v>45385</v>
      </c>
      <c r="B4" t="s">
        <v>271</v>
      </c>
      <c r="C4" t="s">
        <v>271</v>
      </c>
      <c r="D4" t="s">
        <v>271</v>
      </c>
      <c r="E4" t="s">
        <v>275</v>
      </c>
      <c r="F4" t="s">
        <v>275</v>
      </c>
      <c r="G4" t="s">
        <v>275</v>
      </c>
      <c r="H4" t="s">
        <v>275</v>
      </c>
      <c r="I4" t="s">
        <v>275</v>
      </c>
      <c r="K4" t="s">
        <v>187</v>
      </c>
    </row>
    <row r="5" spans="1:15" x14ac:dyDescent="0.25">
      <c r="A5" s="10">
        <v>45386</v>
      </c>
      <c r="B5" t="s">
        <v>275</v>
      </c>
      <c r="C5" t="s">
        <v>275</v>
      </c>
      <c r="D5" t="s">
        <v>275</v>
      </c>
      <c r="E5" t="s">
        <v>275</v>
      </c>
      <c r="F5" t="s">
        <v>275</v>
      </c>
      <c r="G5" t="s">
        <v>271</v>
      </c>
      <c r="H5" t="s">
        <v>260</v>
      </c>
      <c r="I5" t="s">
        <v>275</v>
      </c>
      <c r="K5" t="s">
        <v>64</v>
      </c>
    </row>
    <row r="6" spans="1:15" x14ac:dyDescent="0.25">
      <c r="A6" s="10">
        <v>45387</v>
      </c>
      <c r="B6" t="s">
        <v>275</v>
      </c>
      <c r="C6" t="s">
        <v>271</v>
      </c>
      <c r="D6" t="s">
        <v>275</v>
      </c>
      <c r="E6" t="s">
        <v>275</v>
      </c>
      <c r="F6" t="s">
        <v>275</v>
      </c>
      <c r="G6" t="s">
        <v>275</v>
      </c>
      <c r="H6" t="s">
        <v>260</v>
      </c>
      <c r="I6" t="s">
        <v>275</v>
      </c>
      <c r="K6" t="s">
        <v>133</v>
      </c>
    </row>
    <row r="7" spans="1:15" x14ac:dyDescent="0.25">
      <c r="A7" s="10">
        <v>45388</v>
      </c>
      <c r="B7" t="s">
        <v>275</v>
      </c>
      <c r="C7" t="s">
        <v>260</v>
      </c>
      <c r="D7" t="s">
        <v>275</v>
      </c>
      <c r="E7" t="s">
        <v>260</v>
      </c>
      <c r="F7" t="s">
        <v>271</v>
      </c>
      <c r="G7" t="s">
        <v>275</v>
      </c>
      <c r="H7" t="s">
        <v>275</v>
      </c>
      <c r="I7" t="s">
        <v>275</v>
      </c>
      <c r="K7" t="s">
        <v>112</v>
      </c>
    </row>
    <row r="8" spans="1:15" x14ac:dyDescent="0.25">
      <c r="A8" s="10">
        <v>45389</v>
      </c>
      <c r="B8" t="s">
        <v>267</v>
      </c>
      <c r="C8" t="s">
        <v>267</v>
      </c>
      <c r="D8" t="s">
        <v>267</v>
      </c>
      <c r="E8" t="s">
        <v>267</v>
      </c>
      <c r="F8" t="s">
        <v>267</v>
      </c>
      <c r="G8" t="s">
        <v>267</v>
      </c>
      <c r="H8" t="s">
        <v>267</v>
      </c>
      <c r="I8" t="s">
        <v>267</v>
      </c>
      <c r="K8" t="s">
        <v>189</v>
      </c>
    </row>
    <row r="9" spans="1:15" x14ac:dyDescent="0.25">
      <c r="A9" s="10">
        <v>45390</v>
      </c>
      <c r="B9" t="s">
        <v>275</v>
      </c>
      <c r="C9" t="s">
        <v>275</v>
      </c>
      <c r="D9" t="s">
        <v>260</v>
      </c>
      <c r="E9" t="s">
        <v>275</v>
      </c>
      <c r="F9" t="s">
        <v>260</v>
      </c>
      <c r="G9" t="s">
        <v>271</v>
      </c>
      <c r="H9" t="s">
        <v>275</v>
      </c>
      <c r="I9" t="s">
        <v>275</v>
      </c>
      <c r="K9" t="s">
        <v>139</v>
      </c>
    </row>
    <row r="10" spans="1:15" x14ac:dyDescent="0.25">
      <c r="A10" s="10">
        <v>45391</v>
      </c>
      <c r="B10" t="s">
        <v>275</v>
      </c>
      <c r="C10" t="s">
        <v>271</v>
      </c>
      <c r="D10" t="s">
        <v>275</v>
      </c>
      <c r="E10" t="s">
        <v>275</v>
      </c>
      <c r="F10" t="s">
        <v>260</v>
      </c>
      <c r="G10" t="s">
        <v>260</v>
      </c>
      <c r="H10" t="s">
        <v>260</v>
      </c>
      <c r="I10" t="s">
        <v>275</v>
      </c>
      <c r="K10" t="s">
        <v>322</v>
      </c>
    </row>
    <row r="11" spans="1:15" x14ac:dyDescent="0.25">
      <c r="A11" s="10">
        <v>45392</v>
      </c>
      <c r="B11" t="s">
        <v>260</v>
      </c>
      <c r="C11" t="s">
        <v>275</v>
      </c>
      <c r="D11" t="s">
        <v>271</v>
      </c>
      <c r="E11" t="s">
        <v>275</v>
      </c>
      <c r="F11" t="s">
        <v>271</v>
      </c>
      <c r="G11" t="s">
        <v>260</v>
      </c>
      <c r="H11" t="s">
        <v>275</v>
      </c>
      <c r="I11" t="s">
        <v>260</v>
      </c>
    </row>
    <row r="12" spans="1:15" x14ac:dyDescent="0.25">
      <c r="A12" s="10">
        <v>45393</v>
      </c>
      <c r="B12" t="s">
        <v>275</v>
      </c>
      <c r="C12" t="s">
        <v>275</v>
      </c>
      <c r="D12" t="s">
        <v>275</v>
      </c>
      <c r="E12" t="s">
        <v>271</v>
      </c>
      <c r="F12" t="s">
        <v>275</v>
      </c>
      <c r="G12" t="s">
        <v>275</v>
      </c>
      <c r="H12" t="s">
        <v>275</v>
      </c>
      <c r="I12" t="s">
        <v>275</v>
      </c>
    </row>
    <row r="13" spans="1:15" x14ac:dyDescent="0.25">
      <c r="A13" s="10">
        <v>45394</v>
      </c>
      <c r="B13" t="s">
        <v>271</v>
      </c>
      <c r="C13" t="s">
        <v>260</v>
      </c>
      <c r="D13" t="s">
        <v>275</v>
      </c>
      <c r="E13" t="s">
        <v>275</v>
      </c>
      <c r="F13" t="s">
        <v>275</v>
      </c>
      <c r="G13" t="s">
        <v>271</v>
      </c>
      <c r="H13" t="s">
        <v>271</v>
      </c>
      <c r="I13" t="s">
        <v>275</v>
      </c>
    </row>
    <row r="14" spans="1:15" x14ac:dyDescent="0.25">
      <c r="A14" s="10">
        <v>45395</v>
      </c>
      <c r="B14" t="s">
        <v>271</v>
      </c>
      <c r="C14" t="s">
        <v>271</v>
      </c>
      <c r="D14" t="s">
        <v>275</v>
      </c>
      <c r="E14" t="s">
        <v>275</v>
      </c>
      <c r="F14" t="s">
        <v>275</v>
      </c>
      <c r="G14" t="s">
        <v>275</v>
      </c>
      <c r="H14" t="s">
        <v>275</v>
      </c>
      <c r="I14" t="s">
        <v>275</v>
      </c>
    </row>
    <row r="15" spans="1:15" x14ac:dyDescent="0.25">
      <c r="A15" s="10">
        <v>45396</v>
      </c>
      <c r="B15" t="s">
        <v>267</v>
      </c>
      <c r="C15" t="s">
        <v>267</v>
      </c>
      <c r="D15" t="s">
        <v>267</v>
      </c>
      <c r="E15" t="s">
        <v>267</v>
      </c>
      <c r="F15" t="s">
        <v>267</v>
      </c>
      <c r="G15" t="s">
        <v>267</v>
      </c>
      <c r="H15" t="s">
        <v>267</v>
      </c>
      <c r="I15" t="s">
        <v>267</v>
      </c>
    </row>
    <row r="16" spans="1:15" x14ac:dyDescent="0.25">
      <c r="A16" s="10">
        <v>45397</v>
      </c>
      <c r="B16" t="s">
        <v>275</v>
      </c>
      <c r="C16" t="s">
        <v>275</v>
      </c>
      <c r="D16" t="s">
        <v>260</v>
      </c>
      <c r="E16" t="s">
        <v>271</v>
      </c>
      <c r="F16" t="s">
        <v>275</v>
      </c>
      <c r="G16" t="s">
        <v>275</v>
      </c>
      <c r="H16" t="s">
        <v>271</v>
      </c>
      <c r="I16" t="s">
        <v>275</v>
      </c>
    </row>
    <row r="17" spans="1:18" x14ac:dyDescent="0.25">
      <c r="A17" s="10">
        <v>45398</v>
      </c>
      <c r="B17" t="s">
        <v>271</v>
      </c>
      <c r="C17" t="s">
        <v>275</v>
      </c>
      <c r="D17" t="s">
        <v>260</v>
      </c>
      <c r="E17" t="s">
        <v>271</v>
      </c>
      <c r="F17" t="s">
        <v>275</v>
      </c>
      <c r="G17" t="s">
        <v>275</v>
      </c>
      <c r="H17" t="s">
        <v>275</v>
      </c>
      <c r="I17" t="s">
        <v>275</v>
      </c>
    </row>
    <row r="18" spans="1:18" x14ac:dyDescent="0.25">
      <c r="A18" s="10">
        <v>45399</v>
      </c>
      <c r="B18" t="s">
        <v>275</v>
      </c>
      <c r="C18" t="s">
        <v>275</v>
      </c>
      <c r="D18" t="s">
        <v>260</v>
      </c>
      <c r="E18" t="s">
        <v>260</v>
      </c>
      <c r="F18" t="s">
        <v>275</v>
      </c>
      <c r="G18" t="s">
        <v>271</v>
      </c>
      <c r="H18" t="s">
        <v>271</v>
      </c>
      <c r="I18" t="s">
        <v>275</v>
      </c>
    </row>
    <row r="19" spans="1:18" x14ac:dyDescent="0.25">
      <c r="A19" s="10">
        <v>45400</v>
      </c>
      <c r="B19" t="s">
        <v>275</v>
      </c>
      <c r="C19" t="s">
        <v>260</v>
      </c>
      <c r="D19" t="s">
        <v>260</v>
      </c>
      <c r="E19" t="s">
        <v>271</v>
      </c>
      <c r="F19" t="s">
        <v>275</v>
      </c>
      <c r="G19" t="s">
        <v>275</v>
      </c>
      <c r="H19" t="s">
        <v>271</v>
      </c>
      <c r="I19" t="s">
        <v>271</v>
      </c>
    </row>
    <row r="20" spans="1:18" x14ac:dyDescent="0.25">
      <c r="A20" s="10">
        <v>45401</v>
      </c>
      <c r="B20" t="s">
        <v>275</v>
      </c>
      <c r="C20" t="s">
        <v>260</v>
      </c>
      <c r="D20" t="s">
        <v>275</v>
      </c>
      <c r="E20" t="s">
        <v>275</v>
      </c>
      <c r="F20" t="s">
        <v>275</v>
      </c>
      <c r="G20" t="s">
        <v>275</v>
      </c>
      <c r="H20" t="s">
        <v>260</v>
      </c>
      <c r="I20" t="s">
        <v>275</v>
      </c>
      <c r="L20" t="s">
        <v>63</v>
      </c>
      <c r="M20" t="str">
        <f ca="1">CHOOSE(RANDBETWEEN(1,5),"P","P","H","H","M")</f>
        <v>P</v>
      </c>
      <c r="N20" t="str">
        <f t="shared" ref="N20:R20" ca="1" si="1">CHOOSE(RANDBETWEEN(1,5),"P","P","H","H","M")</f>
        <v>M</v>
      </c>
      <c r="O20" t="str">
        <f t="shared" ca="1" si="1"/>
        <v>M</v>
      </c>
      <c r="P20" t="str">
        <f t="shared" ca="1" si="1"/>
        <v>H</v>
      </c>
      <c r="Q20" t="str">
        <f t="shared" ca="1" si="1"/>
        <v>H</v>
      </c>
      <c r="R20" t="str">
        <f t="shared" ca="1" si="1"/>
        <v>H</v>
      </c>
    </row>
    <row r="21" spans="1:18" x14ac:dyDescent="0.25">
      <c r="A21" s="10">
        <v>45402</v>
      </c>
      <c r="B21" t="s">
        <v>275</v>
      </c>
      <c r="C21" t="s">
        <v>271</v>
      </c>
      <c r="D21" t="s">
        <v>275</v>
      </c>
      <c r="E21" t="s">
        <v>275</v>
      </c>
      <c r="F21" t="s">
        <v>275</v>
      </c>
      <c r="G21" t="s">
        <v>275</v>
      </c>
      <c r="H21" t="s">
        <v>260</v>
      </c>
      <c r="I21" t="s">
        <v>275</v>
      </c>
    </row>
    <row r="22" spans="1:18" x14ac:dyDescent="0.25">
      <c r="A22" s="10">
        <v>45403</v>
      </c>
      <c r="B22" t="s">
        <v>267</v>
      </c>
      <c r="C22" t="s">
        <v>267</v>
      </c>
      <c r="D22" t="s">
        <v>267</v>
      </c>
      <c r="E22" t="s">
        <v>267</v>
      </c>
      <c r="F22" t="s">
        <v>267</v>
      </c>
      <c r="G22" t="s">
        <v>267</v>
      </c>
      <c r="H22" t="s">
        <v>267</v>
      </c>
      <c r="I22" t="s">
        <v>267</v>
      </c>
    </row>
    <row r="23" spans="1:18" x14ac:dyDescent="0.25">
      <c r="A23" s="10">
        <v>45404</v>
      </c>
      <c r="B23" t="s">
        <v>260</v>
      </c>
      <c r="C23" t="s">
        <v>275</v>
      </c>
      <c r="D23" t="s">
        <v>260</v>
      </c>
      <c r="E23" t="s">
        <v>275</v>
      </c>
      <c r="F23" t="s">
        <v>260</v>
      </c>
      <c r="G23" t="s">
        <v>275</v>
      </c>
      <c r="H23" t="s">
        <v>260</v>
      </c>
      <c r="I23" t="s">
        <v>260</v>
      </c>
    </row>
    <row r="24" spans="1:18" x14ac:dyDescent="0.25">
      <c r="A24" s="10">
        <v>45405</v>
      </c>
      <c r="B24" t="s">
        <v>271</v>
      </c>
      <c r="C24" t="s">
        <v>275</v>
      </c>
      <c r="D24" t="s">
        <v>275</v>
      </c>
      <c r="E24" t="s">
        <v>275</v>
      </c>
      <c r="F24" t="s">
        <v>275</v>
      </c>
      <c r="G24" t="s">
        <v>271</v>
      </c>
      <c r="H24" t="s">
        <v>275</v>
      </c>
      <c r="I24" t="s">
        <v>275</v>
      </c>
    </row>
    <row r="25" spans="1:18" x14ac:dyDescent="0.25">
      <c r="A25" s="10">
        <v>45406</v>
      </c>
      <c r="B25" t="s">
        <v>275</v>
      </c>
      <c r="C25" t="s">
        <v>260</v>
      </c>
      <c r="D25" t="s">
        <v>271</v>
      </c>
      <c r="E25" t="s">
        <v>275</v>
      </c>
      <c r="F25" t="s">
        <v>260</v>
      </c>
      <c r="G25" t="s">
        <v>271</v>
      </c>
      <c r="H25" t="s">
        <v>275</v>
      </c>
      <c r="I25" t="s">
        <v>275</v>
      </c>
    </row>
    <row r="26" spans="1:18" x14ac:dyDescent="0.25">
      <c r="A26" s="10">
        <v>45407</v>
      </c>
      <c r="B26" t="s">
        <v>275</v>
      </c>
      <c r="C26" t="s">
        <v>260</v>
      </c>
      <c r="D26" t="s">
        <v>275</v>
      </c>
      <c r="E26" t="s">
        <v>260</v>
      </c>
      <c r="F26" t="s">
        <v>260</v>
      </c>
      <c r="G26" t="s">
        <v>275</v>
      </c>
      <c r="H26" t="s">
        <v>260</v>
      </c>
      <c r="I26" t="s">
        <v>275</v>
      </c>
    </row>
    <row r="27" spans="1:18" x14ac:dyDescent="0.25">
      <c r="A27" s="10">
        <v>45408</v>
      </c>
      <c r="B27" t="s">
        <v>275</v>
      </c>
      <c r="C27" t="s">
        <v>260</v>
      </c>
      <c r="D27" t="s">
        <v>260</v>
      </c>
      <c r="E27" t="s">
        <v>275</v>
      </c>
      <c r="F27" t="s">
        <v>275</v>
      </c>
      <c r="G27" t="s">
        <v>260</v>
      </c>
      <c r="H27" t="s">
        <v>260</v>
      </c>
      <c r="I27" t="s">
        <v>275</v>
      </c>
    </row>
    <row r="28" spans="1:18" x14ac:dyDescent="0.25">
      <c r="A28" s="10">
        <v>45409</v>
      </c>
      <c r="B28" t="s">
        <v>275</v>
      </c>
      <c r="C28" t="s">
        <v>271</v>
      </c>
      <c r="D28" t="s">
        <v>275</v>
      </c>
      <c r="E28" t="s">
        <v>275</v>
      </c>
      <c r="F28" t="s">
        <v>275</v>
      </c>
      <c r="G28" t="s">
        <v>275</v>
      </c>
      <c r="H28" t="s">
        <v>260</v>
      </c>
      <c r="I28" t="s">
        <v>275</v>
      </c>
    </row>
    <row r="29" spans="1:18" x14ac:dyDescent="0.25">
      <c r="A29" s="10">
        <v>45410</v>
      </c>
      <c r="B29" t="s">
        <v>267</v>
      </c>
      <c r="C29" t="s">
        <v>267</v>
      </c>
      <c r="D29" t="s">
        <v>267</v>
      </c>
      <c r="E29" t="s">
        <v>267</v>
      </c>
      <c r="F29" t="s">
        <v>267</v>
      </c>
      <c r="G29" t="s">
        <v>267</v>
      </c>
      <c r="H29" t="s">
        <v>267</v>
      </c>
      <c r="I29" t="s">
        <v>267</v>
      </c>
    </row>
    <row r="30" spans="1:18" x14ac:dyDescent="0.25">
      <c r="A30" s="10">
        <v>45411</v>
      </c>
      <c r="B30" t="s">
        <v>260</v>
      </c>
      <c r="C30" t="s">
        <v>260</v>
      </c>
      <c r="D30" t="s">
        <v>275</v>
      </c>
      <c r="E30" t="s">
        <v>275</v>
      </c>
      <c r="F30" t="s">
        <v>275</v>
      </c>
      <c r="G30" t="s">
        <v>275</v>
      </c>
      <c r="H30" t="s">
        <v>275</v>
      </c>
      <c r="I30" t="s">
        <v>271</v>
      </c>
    </row>
    <row r="31" spans="1:18" x14ac:dyDescent="0.25">
      <c r="A31" s="10">
        <v>45412</v>
      </c>
      <c r="B31" t="s">
        <v>260</v>
      </c>
      <c r="C31" t="s">
        <v>271</v>
      </c>
      <c r="D31" t="s">
        <v>271</v>
      </c>
      <c r="E31" t="s">
        <v>260</v>
      </c>
      <c r="F31" t="s">
        <v>275</v>
      </c>
      <c r="G31" t="s">
        <v>260</v>
      </c>
      <c r="H31" t="s">
        <v>275</v>
      </c>
      <c r="I31" t="s">
        <v>275</v>
      </c>
    </row>
    <row r="32" spans="1:18" x14ac:dyDescent="0.25">
      <c r="A32" s="10">
        <v>45413</v>
      </c>
      <c r="B32" t="s">
        <v>275</v>
      </c>
      <c r="C32" t="s">
        <v>271</v>
      </c>
      <c r="D32" t="s">
        <v>271</v>
      </c>
      <c r="E32" t="s">
        <v>275</v>
      </c>
      <c r="F32" t="s">
        <v>260</v>
      </c>
      <c r="G32" t="s">
        <v>271</v>
      </c>
      <c r="H32" t="s">
        <v>275</v>
      </c>
      <c r="I32" t="s">
        <v>275</v>
      </c>
    </row>
    <row r="33" spans="1:9" x14ac:dyDescent="0.25">
      <c r="A33" s="10">
        <v>45414</v>
      </c>
      <c r="B33" t="s">
        <v>275</v>
      </c>
      <c r="C33" t="s">
        <v>275</v>
      </c>
      <c r="D33" t="s">
        <v>260</v>
      </c>
      <c r="E33" t="s">
        <v>271</v>
      </c>
      <c r="F33" t="s">
        <v>275</v>
      </c>
      <c r="G33" t="s">
        <v>275</v>
      </c>
      <c r="H33" t="s">
        <v>275</v>
      </c>
      <c r="I33" t="s">
        <v>275</v>
      </c>
    </row>
    <row r="34" spans="1:9" x14ac:dyDescent="0.25">
      <c r="A34" s="10">
        <v>45415</v>
      </c>
      <c r="B34" t="s">
        <v>275</v>
      </c>
      <c r="C34" t="s">
        <v>271</v>
      </c>
      <c r="D34" t="s">
        <v>275</v>
      </c>
      <c r="E34" t="s">
        <v>275</v>
      </c>
      <c r="F34" t="s">
        <v>260</v>
      </c>
      <c r="G34" t="s">
        <v>275</v>
      </c>
      <c r="H34" t="s">
        <v>275</v>
      </c>
      <c r="I34" t="s">
        <v>275</v>
      </c>
    </row>
    <row r="35" spans="1:9" x14ac:dyDescent="0.25">
      <c r="A35" s="10">
        <v>45416</v>
      </c>
      <c r="B35" t="s">
        <v>271</v>
      </c>
      <c r="C35" t="s">
        <v>275</v>
      </c>
      <c r="D35" t="s">
        <v>260</v>
      </c>
      <c r="E35" t="s">
        <v>275</v>
      </c>
      <c r="F35" t="s">
        <v>275</v>
      </c>
      <c r="G35" t="s">
        <v>275</v>
      </c>
      <c r="H35" t="s">
        <v>271</v>
      </c>
      <c r="I35" t="s">
        <v>260</v>
      </c>
    </row>
    <row r="36" spans="1:9" x14ac:dyDescent="0.25">
      <c r="A36" s="10">
        <v>45417</v>
      </c>
      <c r="B36" t="s">
        <v>267</v>
      </c>
      <c r="C36" t="s">
        <v>267</v>
      </c>
      <c r="D36" t="s">
        <v>267</v>
      </c>
      <c r="E36" t="s">
        <v>267</v>
      </c>
      <c r="F36" t="s">
        <v>267</v>
      </c>
      <c r="G36" t="s">
        <v>267</v>
      </c>
      <c r="H36" t="s">
        <v>267</v>
      </c>
      <c r="I36" t="s">
        <v>267</v>
      </c>
    </row>
    <row r="37" spans="1:9" x14ac:dyDescent="0.25">
      <c r="A37" s="10">
        <v>45418</v>
      </c>
      <c r="B37" t="s">
        <v>271</v>
      </c>
      <c r="C37" t="s">
        <v>260</v>
      </c>
      <c r="D37" t="s">
        <v>275</v>
      </c>
      <c r="E37" t="s">
        <v>275</v>
      </c>
      <c r="F37" t="s">
        <v>260</v>
      </c>
      <c r="G37" t="s">
        <v>275</v>
      </c>
      <c r="H37" t="s">
        <v>271</v>
      </c>
      <c r="I37" t="s">
        <v>275</v>
      </c>
    </row>
    <row r="38" spans="1:9" x14ac:dyDescent="0.25">
      <c r="A38" s="10">
        <v>45419</v>
      </c>
      <c r="B38" t="s">
        <v>275</v>
      </c>
      <c r="C38" t="s">
        <v>275</v>
      </c>
      <c r="D38" t="s">
        <v>271</v>
      </c>
      <c r="E38" t="s">
        <v>260</v>
      </c>
      <c r="F38" t="s">
        <v>260</v>
      </c>
      <c r="G38" t="s">
        <v>275</v>
      </c>
      <c r="H38" t="s">
        <v>260</v>
      </c>
      <c r="I38" t="s">
        <v>271</v>
      </c>
    </row>
    <row r="39" spans="1:9" x14ac:dyDescent="0.25">
      <c r="A39" s="10">
        <v>45420</v>
      </c>
      <c r="B39" t="s">
        <v>275</v>
      </c>
      <c r="C39" t="s">
        <v>275</v>
      </c>
      <c r="D39" t="s">
        <v>275</v>
      </c>
      <c r="E39" t="s">
        <v>271</v>
      </c>
      <c r="F39" t="s">
        <v>275</v>
      </c>
      <c r="G39" t="s">
        <v>275</v>
      </c>
      <c r="H39" t="s">
        <v>275</v>
      </c>
      <c r="I39" t="s">
        <v>275</v>
      </c>
    </row>
    <row r="40" spans="1:9" x14ac:dyDescent="0.25">
      <c r="A40" s="10">
        <v>45421</v>
      </c>
      <c r="B40" t="s">
        <v>260</v>
      </c>
      <c r="C40" t="s">
        <v>275</v>
      </c>
      <c r="D40" t="s">
        <v>275</v>
      </c>
      <c r="E40" t="s">
        <v>260</v>
      </c>
      <c r="F40" t="s">
        <v>260</v>
      </c>
      <c r="G40" t="s">
        <v>275</v>
      </c>
      <c r="H40" t="s">
        <v>275</v>
      </c>
      <c r="I40" t="s">
        <v>275</v>
      </c>
    </row>
    <row r="41" spans="1:9" x14ac:dyDescent="0.25">
      <c r="A41" s="10">
        <v>45422</v>
      </c>
      <c r="B41" t="s">
        <v>275</v>
      </c>
      <c r="C41" t="s">
        <v>275</v>
      </c>
      <c r="D41" t="s">
        <v>275</v>
      </c>
      <c r="E41" t="s">
        <v>271</v>
      </c>
      <c r="F41" t="s">
        <v>275</v>
      </c>
      <c r="G41" t="s">
        <v>271</v>
      </c>
      <c r="H41" t="s">
        <v>260</v>
      </c>
      <c r="I41" t="s">
        <v>275</v>
      </c>
    </row>
    <row r="42" spans="1:9" x14ac:dyDescent="0.25">
      <c r="A42" s="10">
        <v>45423</v>
      </c>
      <c r="B42" t="s">
        <v>275</v>
      </c>
      <c r="C42" t="s">
        <v>275</v>
      </c>
      <c r="D42" t="s">
        <v>260</v>
      </c>
      <c r="E42" t="s">
        <v>260</v>
      </c>
      <c r="F42" t="s">
        <v>275</v>
      </c>
      <c r="G42" t="s">
        <v>275</v>
      </c>
      <c r="H42" t="s">
        <v>271</v>
      </c>
      <c r="I42" t="s">
        <v>275</v>
      </c>
    </row>
    <row r="43" spans="1:9" x14ac:dyDescent="0.25">
      <c r="A43" s="10">
        <v>45424</v>
      </c>
      <c r="B43" t="s">
        <v>267</v>
      </c>
      <c r="C43" t="s">
        <v>267</v>
      </c>
      <c r="D43" t="s">
        <v>267</v>
      </c>
      <c r="E43" t="s">
        <v>267</v>
      </c>
      <c r="F43" t="s">
        <v>267</v>
      </c>
      <c r="G43" t="s">
        <v>267</v>
      </c>
      <c r="H43" t="s">
        <v>267</v>
      </c>
      <c r="I43" t="s">
        <v>267</v>
      </c>
    </row>
    <row r="44" spans="1:9" x14ac:dyDescent="0.25">
      <c r="A44" s="10">
        <v>45425</v>
      </c>
      <c r="B44" t="s">
        <v>260</v>
      </c>
      <c r="C44" t="s">
        <v>260</v>
      </c>
      <c r="D44" t="s">
        <v>275</v>
      </c>
      <c r="E44" t="s">
        <v>260</v>
      </c>
      <c r="F44" t="s">
        <v>275</v>
      </c>
      <c r="G44" t="s">
        <v>275</v>
      </c>
      <c r="H44" t="s">
        <v>271</v>
      </c>
      <c r="I44" t="s">
        <v>271</v>
      </c>
    </row>
    <row r="45" spans="1:9" x14ac:dyDescent="0.25">
      <c r="A45" s="10">
        <v>45426</v>
      </c>
      <c r="B45" t="s">
        <v>275</v>
      </c>
      <c r="C45" t="s">
        <v>275</v>
      </c>
      <c r="D45" t="s">
        <v>271</v>
      </c>
      <c r="E45" t="s">
        <v>275</v>
      </c>
      <c r="F45" t="s">
        <v>275</v>
      </c>
      <c r="G45" t="s">
        <v>260</v>
      </c>
      <c r="H45" t="s">
        <v>271</v>
      </c>
      <c r="I45" t="s">
        <v>271</v>
      </c>
    </row>
    <row r="46" spans="1:9" x14ac:dyDescent="0.25">
      <c r="A46" s="10">
        <v>45427</v>
      </c>
      <c r="B46" t="s">
        <v>275</v>
      </c>
      <c r="C46" t="s">
        <v>275</v>
      </c>
      <c r="D46" t="s">
        <v>275</v>
      </c>
      <c r="E46" t="s">
        <v>275</v>
      </c>
      <c r="F46" t="s">
        <v>260</v>
      </c>
      <c r="G46" t="s">
        <v>275</v>
      </c>
      <c r="H46" t="s">
        <v>260</v>
      </c>
      <c r="I46" t="s">
        <v>271</v>
      </c>
    </row>
    <row r="47" spans="1:9" x14ac:dyDescent="0.25">
      <c r="A47" s="10">
        <v>45428</v>
      </c>
      <c r="B47" t="s">
        <v>275</v>
      </c>
      <c r="C47" t="s">
        <v>260</v>
      </c>
      <c r="D47" t="s">
        <v>271</v>
      </c>
      <c r="E47" t="s">
        <v>275</v>
      </c>
      <c r="F47" t="s">
        <v>275</v>
      </c>
      <c r="G47" t="s">
        <v>271</v>
      </c>
      <c r="H47" t="s">
        <v>260</v>
      </c>
      <c r="I47" t="s">
        <v>275</v>
      </c>
    </row>
    <row r="48" spans="1:9" x14ac:dyDescent="0.25">
      <c r="A48" s="10">
        <v>45429</v>
      </c>
      <c r="B48" t="s">
        <v>275</v>
      </c>
      <c r="C48" t="s">
        <v>275</v>
      </c>
      <c r="D48" t="s">
        <v>275</v>
      </c>
      <c r="E48" t="s">
        <v>275</v>
      </c>
      <c r="F48" t="s">
        <v>260</v>
      </c>
      <c r="G48" t="s">
        <v>260</v>
      </c>
      <c r="H48" t="s">
        <v>275</v>
      </c>
      <c r="I48" t="s">
        <v>275</v>
      </c>
    </row>
    <row r="49" spans="1:9" x14ac:dyDescent="0.25">
      <c r="A49" s="10">
        <v>45430</v>
      </c>
      <c r="B49" t="s">
        <v>260</v>
      </c>
      <c r="C49" t="s">
        <v>275</v>
      </c>
      <c r="D49" t="s">
        <v>275</v>
      </c>
      <c r="E49" t="s">
        <v>275</v>
      </c>
      <c r="F49" t="s">
        <v>271</v>
      </c>
      <c r="G49" t="s">
        <v>275</v>
      </c>
      <c r="H49" t="s">
        <v>260</v>
      </c>
      <c r="I49" t="s">
        <v>275</v>
      </c>
    </row>
    <row r="50" spans="1:9" x14ac:dyDescent="0.25">
      <c r="A50" s="10">
        <v>45431</v>
      </c>
      <c r="B50" t="s">
        <v>267</v>
      </c>
      <c r="C50" t="s">
        <v>267</v>
      </c>
      <c r="D50" t="s">
        <v>267</v>
      </c>
      <c r="E50" t="s">
        <v>267</v>
      </c>
      <c r="F50" t="s">
        <v>267</v>
      </c>
      <c r="G50" t="s">
        <v>267</v>
      </c>
      <c r="H50" t="s">
        <v>267</v>
      </c>
      <c r="I50" t="s">
        <v>267</v>
      </c>
    </row>
    <row r="51" spans="1:9" x14ac:dyDescent="0.25">
      <c r="A51" s="10">
        <v>45432</v>
      </c>
      <c r="B51" t="s">
        <v>275</v>
      </c>
      <c r="C51" t="s">
        <v>275</v>
      </c>
      <c r="D51" t="s">
        <v>275</v>
      </c>
      <c r="E51" t="s">
        <v>275</v>
      </c>
      <c r="F51" t="s">
        <v>275</v>
      </c>
      <c r="G51" t="s">
        <v>275</v>
      </c>
      <c r="H51" t="s">
        <v>271</v>
      </c>
      <c r="I51" t="s">
        <v>271</v>
      </c>
    </row>
    <row r="52" spans="1:9" x14ac:dyDescent="0.25">
      <c r="A52" s="10">
        <v>45433</v>
      </c>
      <c r="B52" t="s">
        <v>275</v>
      </c>
      <c r="C52" t="s">
        <v>271</v>
      </c>
      <c r="D52" t="s">
        <v>275</v>
      </c>
      <c r="E52" t="s">
        <v>275</v>
      </c>
      <c r="F52" t="s">
        <v>275</v>
      </c>
      <c r="G52" t="s">
        <v>275</v>
      </c>
      <c r="H52" t="s">
        <v>271</v>
      </c>
      <c r="I52" t="s">
        <v>260</v>
      </c>
    </row>
    <row r="53" spans="1:9" x14ac:dyDescent="0.25">
      <c r="A53" s="10">
        <v>45434</v>
      </c>
      <c r="B53" t="s">
        <v>271</v>
      </c>
      <c r="C53" t="s">
        <v>260</v>
      </c>
      <c r="D53" t="s">
        <v>275</v>
      </c>
      <c r="E53" t="s">
        <v>275</v>
      </c>
      <c r="F53" t="s">
        <v>275</v>
      </c>
      <c r="G53" t="s">
        <v>275</v>
      </c>
      <c r="H53" t="s">
        <v>275</v>
      </c>
      <c r="I53" t="s">
        <v>271</v>
      </c>
    </row>
    <row r="54" spans="1:9" x14ac:dyDescent="0.25">
      <c r="A54" s="10">
        <v>45435</v>
      </c>
      <c r="B54" t="s">
        <v>260</v>
      </c>
      <c r="C54" t="s">
        <v>271</v>
      </c>
      <c r="D54" t="s">
        <v>275</v>
      </c>
      <c r="E54" t="s">
        <v>260</v>
      </c>
      <c r="F54" t="s">
        <v>260</v>
      </c>
      <c r="G54" t="s">
        <v>260</v>
      </c>
      <c r="H54" t="s">
        <v>260</v>
      </c>
      <c r="I54" t="s">
        <v>260</v>
      </c>
    </row>
    <row r="55" spans="1:9" x14ac:dyDescent="0.25">
      <c r="A55" s="10">
        <v>45436</v>
      </c>
      <c r="B55" t="s">
        <v>271</v>
      </c>
      <c r="C55" t="s">
        <v>275</v>
      </c>
      <c r="D55" t="s">
        <v>275</v>
      </c>
      <c r="E55" t="s">
        <v>260</v>
      </c>
      <c r="F55" t="s">
        <v>275</v>
      </c>
      <c r="G55" t="s">
        <v>260</v>
      </c>
      <c r="H55" t="s">
        <v>260</v>
      </c>
      <c r="I55" t="s">
        <v>260</v>
      </c>
    </row>
    <row r="56" spans="1:9" x14ac:dyDescent="0.25">
      <c r="A56" s="10">
        <v>45437</v>
      </c>
      <c r="B56" t="s">
        <v>275</v>
      </c>
      <c r="C56" t="s">
        <v>275</v>
      </c>
      <c r="D56" t="s">
        <v>275</v>
      </c>
      <c r="E56" t="s">
        <v>275</v>
      </c>
      <c r="F56" t="s">
        <v>271</v>
      </c>
      <c r="G56" t="s">
        <v>275</v>
      </c>
      <c r="H56" t="s">
        <v>275</v>
      </c>
      <c r="I56" t="s">
        <v>271</v>
      </c>
    </row>
    <row r="57" spans="1:9" x14ac:dyDescent="0.25">
      <c r="A57" s="10">
        <v>45438</v>
      </c>
      <c r="B57" t="s">
        <v>267</v>
      </c>
      <c r="C57" t="s">
        <v>267</v>
      </c>
      <c r="D57" t="s">
        <v>267</v>
      </c>
      <c r="E57" t="s">
        <v>267</v>
      </c>
      <c r="F57" t="s">
        <v>267</v>
      </c>
      <c r="G57" t="s">
        <v>267</v>
      </c>
      <c r="H57" t="s">
        <v>267</v>
      </c>
      <c r="I57" t="s">
        <v>267</v>
      </c>
    </row>
    <row r="58" spans="1:9" x14ac:dyDescent="0.25">
      <c r="A58" s="10">
        <v>45439</v>
      </c>
      <c r="B58" t="s">
        <v>275</v>
      </c>
      <c r="C58" t="s">
        <v>275</v>
      </c>
      <c r="D58" t="s">
        <v>275</v>
      </c>
      <c r="E58" t="s">
        <v>260</v>
      </c>
      <c r="F58" t="s">
        <v>275</v>
      </c>
      <c r="G58" t="s">
        <v>275</v>
      </c>
      <c r="H58" t="s">
        <v>275</v>
      </c>
      <c r="I58" t="s">
        <v>260</v>
      </c>
    </row>
    <row r="59" spans="1:9" x14ac:dyDescent="0.25">
      <c r="A59" s="10">
        <v>45440</v>
      </c>
      <c r="B59" t="s">
        <v>275</v>
      </c>
      <c r="C59" t="s">
        <v>275</v>
      </c>
      <c r="D59" t="s">
        <v>271</v>
      </c>
      <c r="E59" t="s">
        <v>275</v>
      </c>
      <c r="F59" t="s">
        <v>271</v>
      </c>
      <c r="G59" t="s">
        <v>275</v>
      </c>
      <c r="H59" t="s">
        <v>275</v>
      </c>
      <c r="I59" t="s">
        <v>275</v>
      </c>
    </row>
    <row r="60" spans="1:9" x14ac:dyDescent="0.25">
      <c r="A60" s="10">
        <v>45441</v>
      </c>
      <c r="B60" t="s">
        <v>275</v>
      </c>
      <c r="C60" t="s">
        <v>275</v>
      </c>
      <c r="D60" t="s">
        <v>260</v>
      </c>
      <c r="E60" t="s">
        <v>271</v>
      </c>
      <c r="F60" t="s">
        <v>260</v>
      </c>
      <c r="G60" t="s">
        <v>275</v>
      </c>
      <c r="H60" t="s">
        <v>260</v>
      </c>
      <c r="I60" t="s">
        <v>275</v>
      </c>
    </row>
    <row r="61" spans="1:9" x14ac:dyDescent="0.25">
      <c r="A61" s="10">
        <v>45442</v>
      </c>
      <c r="B61" t="s">
        <v>275</v>
      </c>
      <c r="C61" t="s">
        <v>275</v>
      </c>
      <c r="D61" t="s">
        <v>260</v>
      </c>
      <c r="E61" t="s">
        <v>275</v>
      </c>
      <c r="F61" t="s">
        <v>260</v>
      </c>
      <c r="G61" t="s">
        <v>275</v>
      </c>
      <c r="H61" t="s">
        <v>275</v>
      </c>
      <c r="I61" t="s">
        <v>275</v>
      </c>
    </row>
    <row r="62" spans="1:9" x14ac:dyDescent="0.25">
      <c r="A62" s="10">
        <v>45443</v>
      </c>
      <c r="B62" t="s">
        <v>271</v>
      </c>
      <c r="C62" t="s">
        <v>275</v>
      </c>
      <c r="D62" t="s">
        <v>271</v>
      </c>
      <c r="E62" t="s">
        <v>275</v>
      </c>
      <c r="F62" t="s">
        <v>271</v>
      </c>
      <c r="G62" t="s">
        <v>271</v>
      </c>
      <c r="H62" t="s">
        <v>275</v>
      </c>
      <c r="I62" t="s">
        <v>275</v>
      </c>
    </row>
    <row r="63" spans="1:9" x14ac:dyDescent="0.25">
      <c r="A63" s="10">
        <v>45444</v>
      </c>
      <c r="B63" t="s">
        <v>275</v>
      </c>
      <c r="C63" t="s">
        <v>275</v>
      </c>
      <c r="D63" t="s">
        <v>271</v>
      </c>
      <c r="E63" t="s">
        <v>275</v>
      </c>
      <c r="F63" t="s">
        <v>271</v>
      </c>
      <c r="G63" t="s">
        <v>275</v>
      </c>
      <c r="H63" t="s">
        <v>260</v>
      </c>
      <c r="I63" t="s">
        <v>271</v>
      </c>
    </row>
    <row r="64" spans="1:9" x14ac:dyDescent="0.25">
      <c r="A64" s="10">
        <v>45445</v>
      </c>
      <c r="B64" t="s">
        <v>267</v>
      </c>
      <c r="C64" t="s">
        <v>267</v>
      </c>
      <c r="D64" t="s">
        <v>267</v>
      </c>
      <c r="E64" t="s">
        <v>267</v>
      </c>
      <c r="F64" t="s">
        <v>267</v>
      </c>
      <c r="G64" t="s">
        <v>267</v>
      </c>
      <c r="H64" t="s">
        <v>267</v>
      </c>
      <c r="I64" t="s">
        <v>267</v>
      </c>
    </row>
    <row r="65" spans="1:9" x14ac:dyDescent="0.25">
      <c r="A65" s="10">
        <v>45446</v>
      </c>
      <c r="B65" t="s">
        <v>275</v>
      </c>
      <c r="C65" t="s">
        <v>275</v>
      </c>
      <c r="D65" t="s">
        <v>271</v>
      </c>
      <c r="E65" t="s">
        <v>271</v>
      </c>
      <c r="F65" t="s">
        <v>271</v>
      </c>
      <c r="G65" t="s">
        <v>275</v>
      </c>
      <c r="H65" t="s">
        <v>260</v>
      </c>
      <c r="I65" t="s">
        <v>275</v>
      </c>
    </row>
    <row r="66" spans="1:9" x14ac:dyDescent="0.25">
      <c r="A66" s="10">
        <v>45447</v>
      </c>
      <c r="B66" t="s">
        <v>275</v>
      </c>
      <c r="C66" t="s">
        <v>275</v>
      </c>
      <c r="D66" t="s">
        <v>275</v>
      </c>
      <c r="E66" t="s">
        <v>275</v>
      </c>
      <c r="F66" t="s">
        <v>275</v>
      </c>
      <c r="G66" t="s">
        <v>271</v>
      </c>
      <c r="H66" t="s">
        <v>271</v>
      </c>
      <c r="I66" t="s">
        <v>275</v>
      </c>
    </row>
    <row r="67" spans="1:9" x14ac:dyDescent="0.25">
      <c r="A67" s="10">
        <v>45448</v>
      </c>
      <c r="B67" t="s">
        <v>275</v>
      </c>
      <c r="C67" t="s">
        <v>275</v>
      </c>
      <c r="D67" t="s">
        <v>275</v>
      </c>
      <c r="E67" t="s">
        <v>275</v>
      </c>
      <c r="F67" t="s">
        <v>275</v>
      </c>
      <c r="G67" t="s">
        <v>271</v>
      </c>
      <c r="H67" t="s">
        <v>275</v>
      </c>
      <c r="I67" t="s">
        <v>275</v>
      </c>
    </row>
    <row r="68" spans="1:9" x14ac:dyDescent="0.25">
      <c r="A68" s="10">
        <v>45449</v>
      </c>
      <c r="B68" t="s">
        <v>275</v>
      </c>
      <c r="C68" t="s">
        <v>275</v>
      </c>
      <c r="D68" t="s">
        <v>271</v>
      </c>
      <c r="E68" t="s">
        <v>275</v>
      </c>
      <c r="F68" t="s">
        <v>275</v>
      </c>
      <c r="G68" t="s">
        <v>275</v>
      </c>
      <c r="H68" t="s">
        <v>271</v>
      </c>
      <c r="I68" t="s">
        <v>275</v>
      </c>
    </row>
    <row r="69" spans="1:9" x14ac:dyDescent="0.25">
      <c r="A69" s="10">
        <v>45450</v>
      </c>
      <c r="B69" t="s">
        <v>260</v>
      </c>
      <c r="C69" t="s">
        <v>260</v>
      </c>
      <c r="D69" t="s">
        <v>275</v>
      </c>
      <c r="E69" t="s">
        <v>275</v>
      </c>
      <c r="F69" t="s">
        <v>260</v>
      </c>
      <c r="G69" t="s">
        <v>260</v>
      </c>
      <c r="H69" t="s">
        <v>275</v>
      </c>
      <c r="I69" t="s">
        <v>275</v>
      </c>
    </row>
    <row r="70" spans="1:9" x14ac:dyDescent="0.25">
      <c r="A70" s="10">
        <v>45451</v>
      </c>
      <c r="B70" t="s">
        <v>275</v>
      </c>
      <c r="C70" t="s">
        <v>275</v>
      </c>
      <c r="D70" t="s">
        <v>260</v>
      </c>
      <c r="E70" t="s">
        <v>275</v>
      </c>
      <c r="F70" t="s">
        <v>275</v>
      </c>
      <c r="G70" t="s">
        <v>275</v>
      </c>
      <c r="H70" t="s">
        <v>275</v>
      </c>
      <c r="I70" t="s">
        <v>275</v>
      </c>
    </row>
    <row r="71" spans="1:9" x14ac:dyDescent="0.25">
      <c r="A71" s="10">
        <v>45452</v>
      </c>
      <c r="B71" t="s">
        <v>267</v>
      </c>
      <c r="C71" t="s">
        <v>267</v>
      </c>
      <c r="D71" t="s">
        <v>267</v>
      </c>
      <c r="E71" t="s">
        <v>267</v>
      </c>
      <c r="F71" t="s">
        <v>267</v>
      </c>
      <c r="G71" t="s">
        <v>267</v>
      </c>
      <c r="H71" t="s">
        <v>267</v>
      </c>
      <c r="I71" t="s">
        <v>267</v>
      </c>
    </row>
    <row r="72" spans="1:9" x14ac:dyDescent="0.25">
      <c r="A72" s="10">
        <v>45453</v>
      </c>
      <c r="B72" t="s">
        <v>271</v>
      </c>
      <c r="C72" t="s">
        <v>260</v>
      </c>
      <c r="D72" t="s">
        <v>260</v>
      </c>
      <c r="E72" t="s">
        <v>260</v>
      </c>
      <c r="F72" t="s">
        <v>275</v>
      </c>
      <c r="G72" t="s">
        <v>260</v>
      </c>
      <c r="H72" t="s">
        <v>275</v>
      </c>
      <c r="I72" t="s">
        <v>275</v>
      </c>
    </row>
    <row r="73" spans="1:9" x14ac:dyDescent="0.25">
      <c r="A73" s="10">
        <v>45454</v>
      </c>
      <c r="B73" t="s">
        <v>260</v>
      </c>
      <c r="C73" t="s">
        <v>260</v>
      </c>
      <c r="D73" t="s">
        <v>275</v>
      </c>
      <c r="E73" t="s">
        <v>275</v>
      </c>
      <c r="F73" t="s">
        <v>271</v>
      </c>
      <c r="G73" t="s">
        <v>275</v>
      </c>
      <c r="H73" t="s">
        <v>275</v>
      </c>
      <c r="I73" t="s">
        <v>271</v>
      </c>
    </row>
    <row r="74" spans="1:9" x14ac:dyDescent="0.25">
      <c r="A74" s="10">
        <v>45455</v>
      </c>
      <c r="B74" t="s">
        <v>271</v>
      </c>
      <c r="C74" t="s">
        <v>260</v>
      </c>
      <c r="D74" t="s">
        <v>275</v>
      </c>
      <c r="E74" t="s">
        <v>271</v>
      </c>
      <c r="F74" t="s">
        <v>275</v>
      </c>
      <c r="G74" t="s">
        <v>275</v>
      </c>
      <c r="H74" t="s">
        <v>275</v>
      </c>
      <c r="I74" t="s">
        <v>271</v>
      </c>
    </row>
    <row r="75" spans="1:9" x14ac:dyDescent="0.25">
      <c r="A75" s="10">
        <v>45456</v>
      </c>
      <c r="B75" t="s">
        <v>275</v>
      </c>
      <c r="C75" t="s">
        <v>275</v>
      </c>
      <c r="D75" t="s">
        <v>260</v>
      </c>
      <c r="E75" t="s">
        <v>271</v>
      </c>
      <c r="F75" t="s">
        <v>275</v>
      </c>
      <c r="G75" t="s">
        <v>260</v>
      </c>
      <c r="H75" t="s">
        <v>275</v>
      </c>
      <c r="I75" t="s">
        <v>275</v>
      </c>
    </row>
    <row r="76" spans="1:9" x14ac:dyDescent="0.25">
      <c r="A76" s="10">
        <v>45457</v>
      </c>
      <c r="B76" t="s">
        <v>275</v>
      </c>
      <c r="C76" t="s">
        <v>275</v>
      </c>
      <c r="D76" t="s">
        <v>275</v>
      </c>
      <c r="E76" t="s">
        <v>275</v>
      </c>
      <c r="F76" t="s">
        <v>275</v>
      </c>
      <c r="G76" t="s">
        <v>275</v>
      </c>
      <c r="H76" t="s">
        <v>260</v>
      </c>
      <c r="I76" t="s">
        <v>275</v>
      </c>
    </row>
    <row r="77" spans="1:9" x14ac:dyDescent="0.25">
      <c r="A77" s="10">
        <v>45458</v>
      </c>
      <c r="B77" t="s">
        <v>275</v>
      </c>
      <c r="C77" t="s">
        <v>275</v>
      </c>
      <c r="D77" t="s">
        <v>271</v>
      </c>
      <c r="E77" t="s">
        <v>260</v>
      </c>
      <c r="F77" t="s">
        <v>275</v>
      </c>
      <c r="G77" t="s">
        <v>260</v>
      </c>
      <c r="H77" t="s">
        <v>271</v>
      </c>
      <c r="I77" t="s">
        <v>275</v>
      </c>
    </row>
    <row r="78" spans="1:9" x14ac:dyDescent="0.25">
      <c r="A78" s="10">
        <v>45459</v>
      </c>
      <c r="B78" t="s">
        <v>267</v>
      </c>
      <c r="C78" t="s">
        <v>267</v>
      </c>
      <c r="D78" t="s">
        <v>267</v>
      </c>
      <c r="E78" t="s">
        <v>267</v>
      </c>
      <c r="F78" t="s">
        <v>267</v>
      </c>
      <c r="G78" t="s">
        <v>267</v>
      </c>
      <c r="H78" t="s">
        <v>267</v>
      </c>
      <c r="I78" t="s">
        <v>267</v>
      </c>
    </row>
    <row r="79" spans="1:9" x14ac:dyDescent="0.25">
      <c r="A79" s="10">
        <v>45460</v>
      </c>
      <c r="B79" t="s">
        <v>271</v>
      </c>
      <c r="C79" t="s">
        <v>271</v>
      </c>
      <c r="D79" t="s">
        <v>260</v>
      </c>
      <c r="E79" t="s">
        <v>275</v>
      </c>
      <c r="F79" t="s">
        <v>275</v>
      </c>
      <c r="G79" t="s">
        <v>260</v>
      </c>
      <c r="H79" t="s">
        <v>260</v>
      </c>
      <c r="I79" t="s">
        <v>275</v>
      </c>
    </row>
    <row r="80" spans="1:9" x14ac:dyDescent="0.25">
      <c r="A80" s="10">
        <v>45461</v>
      </c>
      <c r="B80" t="s">
        <v>271</v>
      </c>
      <c r="C80" t="s">
        <v>275</v>
      </c>
      <c r="D80" t="s">
        <v>275</v>
      </c>
      <c r="E80" t="s">
        <v>260</v>
      </c>
      <c r="F80" t="s">
        <v>260</v>
      </c>
      <c r="G80" t="s">
        <v>275</v>
      </c>
      <c r="H80" t="s">
        <v>260</v>
      </c>
      <c r="I80" t="s">
        <v>275</v>
      </c>
    </row>
    <row r="81" spans="1:9" x14ac:dyDescent="0.25">
      <c r="A81" s="10">
        <v>45462</v>
      </c>
      <c r="B81" t="s">
        <v>271</v>
      </c>
      <c r="C81" t="s">
        <v>275</v>
      </c>
      <c r="D81" t="s">
        <v>275</v>
      </c>
      <c r="E81" t="s">
        <v>260</v>
      </c>
      <c r="F81" t="s">
        <v>260</v>
      </c>
      <c r="G81" t="s">
        <v>271</v>
      </c>
      <c r="H81" t="s">
        <v>260</v>
      </c>
      <c r="I81" t="s">
        <v>275</v>
      </c>
    </row>
    <row r="82" spans="1:9" x14ac:dyDescent="0.25">
      <c r="A82" s="10">
        <v>45463</v>
      </c>
      <c r="B82" t="s">
        <v>275</v>
      </c>
      <c r="C82" t="s">
        <v>275</v>
      </c>
      <c r="D82" t="s">
        <v>271</v>
      </c>
      <c r="E82" t="s">
        <v>260</v>
      </c>
      <c r="F82" t="s">
        <v>260</v>
      </c>
      <c r="G82" t="s">
        <v>275</v>
      </c>
      <c r="H82" t="s">
        <v>271</v>
      </c>
      <c r="I82" t="s">
        <v>275</v>
      </c>
    </row>
    <row r="83" spans="1:9" x14ac:dyDescent="0.25">
      <c r="A83" s="10">
        <v>45464</v>
      </c>
      <c r="B83" t="s">
        <v>275</v>
      </c>
      <c r="C83" t="s">
        <v>275</v>
      </c>
      <c r="D83" t="s">
        <v>275</v>
      </c>
      <c r="E83" t="s">
        <v>275</v>
      </c>
      <c r="F83" t="s">
        <v>271</v>
      </c>
      <c r="G83" t="s">
        <v>275</v>
      </c>
      <c r="H83" t="s">
        <v>275</v>
      </c>
      <c r="I83" t="s">
        <v>275</v>
      </c>
    </row>
    <row r="84" spans="1:9" x14ac:dyDescent="0.25">
      <c r="A84" s="10">
        <v>45465</v>
      </c>
      <c r="B84" t="s">
        <v>275</v>
      </c>
      <c r="C84" t="s">
        <v>275</v>
      </c>
      <c r="D84" t="s">
        <v>275</v>
      </c>
      <c r="E84" t="s">
        <v>275</v>
      </c>
      <c r="F84" t="s">
        <v>275</v>
      </c>
      <c r="G84" t="s">
        <v>271</v>
      </c>
      <c r="H84" t="s">
        <v>271</v>
      </c>
      <c r="I84" t="s">
        <v>271</v>
      </c>
    </row>
    <row r="85" spans="1:9" x14ac:dyDescent="0.25">
      <c r="A85" s="10">
        <v>45466</v>
      </c>
      <c r="B85" t="s">
        <v>267</v>
      </c>
      <c r="C85" t="s">
        <v>267</v>
      </c>
      <c r="D85" t="s">
        <v>267</v>
      </c>
      <c r="E85" t="s">
        <v>267</v>
      </c>
      <c r="F85" t="s">
        <v>267</v>
      </c>
      <c r="G85" t="s">
        <v>267</v>
      </c>
      <c r="H85" t="s">
        <v>267</v>
      </c>
      <c r="I85" t="s">
        <v>267</v>
      </c>
    </row>
    <row r="86" spans="1:9" x14ac:dyDescent="0.25">
      <c r="A86" s="10">
        <v>45467</v>
      </c>
      <c r="B86" t="s">
        <v>275</v>
      </c>
      <c r="C86" t="s">
        <v>275</v>
      </c>
      <c r="D86" t="s">
        <v>275</v>
      </c>
      <c r="E86" t="s">
        <v>275</v>
      </c>
      <c r="F86" t="s">
        <v>271</v>
      </c>
      <c r="G86" t="s">
        <v>275</v>
      </c>
      <c r="H86" t="s">
        <v>275</v>
      </c>
      <c r="I86" t="s">
        <v>260</v>
      </c>
    </row>
    <row r="87" spans="1:9" x14ac:dyDescent="0.25">
      <c r="A87" s="10">
        <v>45468</v>
      </c>
      <c r="B87" t="s">
        <v>275</v>
      </c>
      <c r="C87" t="s">
        <v>260</v>
      </c>
      <c r="D87" t="s">
        <v>275</v>
      </c>
      <c r="E87" t="s">
        <v>260</v>
      </c>
      <c r="F87" t="s">
        <v>275</v>
      </c>
      <c r="G87" t="s">
        <v>275</v>
      </c>
      <c r="H87" t="s">
        <v>275</v>
      </c>
      <c r="I87" t="s">
        <v>275</v>
      </c>
    </row>
    <row r="88" spans="1:9" x14ac:dyDescent="0.25">
      <c r="A88" s="10">
        <v>45469</v>
      </c>
      <c r="B88" t="s">
        <v>275</v>
      </c>
      <c r="C88" t="s">
        <v>260</v>
      </c>
      <c r="D88" t="s">
        <v>271</v>
      </c>
      <c r="E88" t="s">
        <v>275</v>
      </c>
      <c r="F88" t="s">
        <v>275</v>
      </c>
      <c r="G88" t="s">
        <v>271</v>
      </c>
      <c r="H88" t="s">
        <v>275</v>
      </c>
      <c r="I88" t="s">
        <v>271</v>
      </c>
    </row>
    <row r="89" spans="1:9" x14ac:dyDescent="0.25">
      <c r="A89" s="10">
        <v>45470</v>
      </c>
      <c r="B89" t="s">
        <v>275</v>
      </c>
      <c r="C89" t="s">
        <v>275</v>
      </c>
      <c r="D89" t="s">
        <v>275</v>
      </c>
      <c r="E89" t="s">
        <v>275</v>
      </c>
      <c r="F89" t="s">
        <v>275</v>
      </c>
      <c r="G89" t="s">
        <v>271</v>
      </c>
      <c r="H89" t="s">
        <v>275</v>
      </c>
      <c r="I89" t="s">
        <v>275</v>
      </c>
    </row>
    <row r="90" spans="1:9" x14ac:dyDescent="0.25">
      <c r="A90" s="10">
        <v>45471</v>
      </c>
      <c r="B90" t="s">
        <v>275</v>
      </c>
      <c r="C90" t="s">
        <v>275</v>
      </c>
      <c r="D90" t="s">
        <v>275</v>
      </c>
      <c r="E90" t="s">
        <v>260</v>
      </c>
      <c r="F90" t="s">
        <v>275</v>
      </c>
      <c r="G90" t="s">
        <v>275</v>
      </c>
      <c r="H90" t="s">
        <v>275</v>
      </c>
      <c r="I90" t="s">
        <v>260</v>
      </c>
    </row>
    <row r="91" spans="1:9" x14ac:dyDescent="0.25">
      <c r="A91" s="10">
        <v>45472</v>
      </c>
      <c r="B91" t="s">
        <v>275</v>
      </c>
      <c r="C91" t="s">
        <v>275</v>
      </c>
      <c r="D91" t="s">
        <v>271</v>
      </c>
      <c r="E91" t="s">
        <v>260</v>
      </c>
      <c r="F91" t="s">
        <v>275</v>
      </c>
      <c r="G91" t="s">
        <v>275</v>
      </c>
      <c r="H91" t="s">
        <v>275</v>
      </c>
      <c r="I91" t="s">
        <v>275</v>
      </c>
    </row>
    <row r="92" spans="1:9" x14ac:dyDescent="0.25">
      <c r="A92" s="10">
        <v>45473</v>
      </c>
      <c r="B92" t="s">
        <v>267</v>
      </c>
      <c r="C92" t="s">
        <v>267</v>
      </c>
      <c r="D92" t="s">
        <v>267</v>
      </c>
      <c r="E92" t="s">
        <v>267</v>
      </c>
      <c r="F92" t="s">
        <v>267</v>
      </c>
      <c r="G92" t="s">
        <v>267</v>
      </c>
      <c r="H92" t="s">
        <v>267</v>
      </c>
      <c r="I92" t="s">
        <v>267</v>
      </c>
    </row>
    <row r="93" spans="1:9" x14ac:dyDescent="0.25">
      <c r="A93" s="10">
        <v>45474</v>
      </c>
      <c r="B93" t="s">
        <v>260</v>
      </c>
      <c r="C93" t="s">
        <v>260</v>
      </c>
      <c r="D93" t="s">
        <v>275</v>
      </c>
      <c r="E93" t="s">
        <v>275</v>
      </c>
      <c r="F93" t="s">
        <v>275</v>
      </c>
      <c r="G93" t="s">
        <v>275</v>
      </c>
      <c r="H93" t="s">
        <v>275</v>
      </c>
      <c r="I93" t="s">
        <v>275</v>
      </c>
    </row>
    <row r="94" spans="1:9" x14ac:dyDescent="0.25">
      <c r="A94" s="10">
        <v>45475</v>
      </c>
      <c r="B94" t="s">
        <v>275</v>
      </c>
      <c r="C94" t="s">
        <v>275</v>
      </c>
      <c r="D94" t="s">
        <v>271</v>
      </c>
      <c r="E94" t="s">
        <v>271</v>
      </c>
      <c r="F94" t="s">
        <v>275</v>
      </c>
      <c r="G94" t="s">
        <v>260</v>
      </c>
      <c r="H94" t="s">
        <v>275</v>
      </c>
      <c r="I94" t="s">
        <v>275</v>
      </c>
    </row>
    <row r="95" spans="1:9" x14ac:dyDescent="0.25">
      <c r="A95" s="10">
        <v>45476</v>
      </c>
      <c r="B95" t="s">
        <v>275</v>
      </c>
      <c r="C95" t="s">
        <v>275</v>
      </c>
      <c r="D95" t="s">
        <v>260</v>
      </c>
      <c r="E95" t="s">
        <v>275</v>
      </c>
      <c r="F95" t="s">
        <v>275</v>
      </c>
      <c r="G95" t="s">
        <v>275</v>
      </c>
      <c r="H95" t="s">
        <v>275</v>
      </c>
      <c r="I95" t="s">
        <v>275</v>
      </c>
    </row>
    <row r="96" spans="1:9" x14ac:dyDescent="0.25">
      <c r="A96" s="10">
        <v>45477</v>
      </c>
      <c r="B96" t="s">
        <v>275</v>
      </c>
      <c r="C96" t="s">
        <v>271</v>
      </c>
      <c r="D96" t="s">
        <v>275</v>
      </c>
      <c r="E96" t="s">
        <v>271</v>
      </c>
      <c r="F96" t="s">
        <v>271</v>
      </c>
      <c r="G96" t="s">
        <v>275</v>
      </c>
      <c r="H96" t="s">
        <v>271</v>
      </c>
      <c r="I96" t="s">
        <v>275</v>
      </c>
    </row>
    <row r="97" spans="1:9" x14ac:dyDescent="0.25">
      <c r="A97" s="10">
        <v>45478</v>
      </c>
      <c r="B97" t="s">
        <v>271</v>
      </c>
      <c r="C97" t="s">
        <v>260</v>
      </c>
      <c r="D97" t="s">
        <v>260</v>
      </c>
      <c r="E97" t="s">
        <v>275</v>
      </c>
      <c r="F97" t="s">
        <v>275</v>
      </c>
      <c r="G97" t="s">
        <v>275</v>
      </c>
      <c r="H97" t="s">
        <v>275</v>
      </c>
      <c r="I97" t="s">
        <v>260</v>
      </c>
    </row>
    <row r="98" spans="1:9" x14ac:dyDescent="0.25">
      <c r="A98" s="10">
        <v>45479</v>
      </c>
      <c r="B98" t="s">
        <v>275</v>
      </c>
      <c r="C98" t="s">
        <v>260</v>
      </c>
      <c r="D98" t="s">
        <v>275</v>
      </c>
      <c r="E98" t="s">
        <v>275</v>
      </c>
      <c r="F98" t="s">
        <v>260</v>
      </c>
      <c r="G98" t="s">
        <v>275</v>
      </c>
      <c r="H98" t="s">
        <v>271</v>
      </c>
      <c r="I98" t="s">
        <v>260</v>
      </c>
    </row>
    <row r="99" spans="1:9" x14ac:dyDescent="0.25">
      <c r="A99" s="10">
        <v>45480</v>
      </c>
      <c r="B99" t="s">
        <v>267</v>
      </c>
      <c r="C99" t="s">
        <v>267</v>
      </c>
      <c r="D99" t="s">
        <v>267</v>
      </c>
      <c r="E99" t="s">
        <v>267</v>
      </c>
      <c r="F99" t="s">
        <v>267</v>
      </c>
      <c r="G99" t="s">
        <v>267</v>
      </c>
      <c r="H99" t="s">
        <v>267</v>
      </c>
      <c r="I99" t="s">
        <v>267</v>
      </c>
    </row>
    <row r="100" spans="1:9" x14ac:dyDescent="0.25">
      <c r="A100" s="10">
        <v>45481</v>
      </c>
      <c r="B100" t="s">
        <v>275</v>
      </c>
      <c r="C100" t="s">
        <v>275</v>
      </c>
      <c r="D100" t="s">
        <v>271</v>
      </c>
      <c r="E100" t="s">
        <v>275</v>
      </c>
      <c r="F100" t="s">
        <v>275</v>
      </c>
      <c r="G100" t="s">
        <v>260</v>
      </c>
      <c r="H100" t="s">
        <v>271</v>
      </c>
      <c r="I100" t="s">
        <v>260</v>
      </c>
    </row>
    <row r="101" spans="1:9" x14ac:dyDescent="0.25">
      <c r="A101" s="10">
        <v>45482</v>
      </c>
      <c r="B101" t="s">
        <v>260</v>
      </c>
      <c r="C101" t="s">
        <v>275</v>
      </c>
      <c r="D101" t="s">
        <v>275</v>
      </c>
      <c r="E101" t="s">
        <v>275</v>
      </c>
      <c r="F101" t="s">
        <v>275</v>
      </c>
      <c r="G101" t="s">
        <v>260</v>
      </c>
      <c r="H101" t="s">
        <v>275</v>
      </c>
      <c r="I101" t="s">
        <v>271</v>
      </c>
    </row>
    <row r="102" spans="1:9" x14ac:dyDescent="0.25">
      <c r="A102" s="10">
        <v>45483</v>
      </c>
      <c r="B102" t="s">
        <v>271</v>
      </c>
      <c r="C102" t="s">
        <v>275</v>
      </c>
      <c r="D102" t="s">
        <v>275</v>
      </c>
      <c r="E102" t="s">
        <v>275</v>
      </c>
      <c r="F102" t="s">
        <v>275</v>
      </c>
      <c r="G102" t="s">
        <v>260</v>
      </c>
      <c r="H102" t="s">
        <v>271</v>
      </c>
      <c r="I102" t="s">
        <v>275</v>
      </c>
    </row>
    <row r="103" spans="1:9" x14ac:dyDescent="0.25">
      <c r="A103" s="10">
        <v>45484</v>
      </c>
      <c r="B103" t="s">
        <v>275</v>
      </c>
      <c r="C103" t="s">
        <v>275</v>
      </c>
      <c r="D103" t="s">
        <v>275</v>
      </c>
      <c r="E103" t="s">
        <v>271</v>
      </c>
      <c r="F103" t="s">
        <v>271</v>
      </c>
      <c r="G103" t="s">
        <v>260</v>
      </c>
      <c r="H103" t="s">
        <v>275</v>
      </c>
      <c r="I103" t="s">
        <v>275</v>
      </c>
    </row>
    <row r="104" spans="1:9" x14ac:dyDescent="0.25">
      <c r="A104" s="10">
        <v>45485</v>
      </c>
      <c r="B104" t="s">
        <v>260</v>
      </c>
      <c r="C104" t="s">
        <v>275</v>
      </c>
      <c r="D104" t="s">
        <v>275</v>
      </c>
      <c r="E104" t="s">
        <v>275</v>
      </c>
      <c r="F104" t="s">
        <v>275</v>
      </c>
      <c r="G104" t="s">
        <v>275</v>
      </c>
      <c r="H104" t="s">
        <v>260</v>
      </c>
      <c r="I104" t="s">
        <v>275</v>
      </c>
    </row>
    <row r="105" spans="1:9" x14ac:dyDescent="0.25">
      <c r="A105" s="10">
        <v>45486</v>
      </c>
      <c r="B105" t="s">
        <v>275</v>
      </c>
      <c r="C105" t="s">
        <v>275</v>
      </c>
      <c r="D105" t="s">
        <v>275</v>
      </c>
      <c r="E105" t="s">
        <v>275</v>
      </c>
      <c r="F105" t="s">
        <v>275</v>
      </c>
      <c r="G105" t="s">
        <v>271</v>
      </c>
      <c r="H105" t="s">
        <v>260</v>
      </c>
      <c r="I105" t="s">
        <v>275</v>
      </c>
    </row>
    <row r="106" spans="1:9" x14ac:dyDescent="0.25">
      <c r="A106" s="10">
        <v>45487</v>
      </c>
      <c r="B106" t="s">
        <v>267</v>
      </c>
      <c r="C106" t="s">
        <v>267</v>
      </c>
      <c r="D106" t="s">
        <v>267</v>
      </c>
      <c r="E106" t="s">
        <v>267</v>
      </c>
      <c r="F106" t="s">
        <v>267</v>
      </c>
      <c r="G106" t="s">
        <v>267</v>
      </c>
      <c r="H106" t="s">
        <v>267</v>
      </c>
      <c r="I106" t="s">
        <v>267</v>
      </c>
    </row>
    <row r="107" spans="1:9" x14ac:dyDescent="0.25">
      <c r="A107" s="10">
        <v>45488</v>
      </c>
      <c r="B107" t="s">
        <v>275</v>
      </c>
      <c r="C107" t="s">
        <v>275</v>
      </c>
      <c r="D107" t="s">
        <v>260</v>
      </c>
      <c r="E107" t="s">
        <v>260</v>
      </c>
      <c r="F107" t="s">
        <v>271</v>
      </c>
      <c r="G107" t="s">
        <v>271</v>
      </c>
      <c r="H107" t="s">
        <v>275</v>
      </c>
      <c r="I107" t="s">
        <v>275</v>
      </c>
    </row>
    <row r="108" spans="1:9" x14ac:dyDescent="0.25">
      <c r="A108" s="10">
        <v>45489</v>
      </c>
      <c r="B108" t="s">
        <v>271</v>
      </c>
      <c r="C108" t="s">
        <v>271</v>
      </c>
      <c r="D108" t="s">
        <v>271</v>
      </c>
      <c r="E108" t="s">
        <v>275</v>
      </c>
      <c r="F108" t="s">
        <v>275</v>
      </c>
      <c r="G108" t="s">
        <v>271</v>
      </c>
      <c r="H108" t="s">
        <v>271</v>
      </c>
      <c r="I108" t="s">
        <v>275</v>
      </c>
    </row>
    <row r="109" spans="1:9" x14ac:dyDescent="0.25">
      <c r="A109" s="10">
        <v>45490</v>
      </c>
      <c r="B109" t="s">
        <v>271</v>
      </c>
      <c r="C109" t="s">
        <v>275</v>
      </c>
      <c r="D109" t="s">
        <v>275</v>
      </c>
      <c r="E109" t="s">
        <v>275</v>
      </c>
      <c r="F109" t="s">
        <v>275</v>
      </c>
      <c r="G109" t="s">
        <v>275</v>
      </c>
      <c r="H109" t="s">
        <v>271</v>
      </c>
      <c r="I109" t="s">
        <v>271</v>
      </c>
    </row>
    <row r="110" spans="1:9" x14ac:dyDescent="0.25">
      <c r="A110" s="10">
        <v>45491</v>
      </c>
      <c r="B110" t="s">
        <v>275</v>
      </c>
      <c r="C110" t="s">
        <v>271</v>
      </c>
      <c r="D110" t="s">
        <v>271</v>
      </c>
      <c r="E110" t="s">
        <v>271</v>
      </c>
      <c r="F110" t="s">
        <v>275</v>
      </c>
      <c r="G110" t="s">
        <v>260</v>
      </c>
      <c r="H110" t="s">
        <v>275</v>
      </c>
      <c r="I110" t="s">
        <v>275</v>
      </c>
    </row>
    <row r="111" spans="1:9" x14ac:dyDescent="0.25">
      <c r="A111" s="10">
        <v>45492</v>
      </c>
      <c r="B111" t="s">
        <v>275</v>
      </c>
      <c r="C111" t="s">
        <v>275</v>
      </c>
      <c r="D111" t="s">
        <v>271</v>
      </c>
      <c r="E111" t="s">
        <v>275</v>
      </c>
      <c r="F111" t="s">
        <v>275</v>
      </c>
      <c r="G111" t="s">
        <v>271</v>
      </c>
      <c r="H111" t="s">
        <v>275</v>
      </c>
      <c r="I111" t="s">
        <v>260</v>
      </c>
    </row>
    <row r="112" spans="1:9" x14ac:dyDescent="0.25">
      <c r="A112" s="10">
        <v>45493</v>
      </c>
      <c r="B112" t="s">
        <v>275</v>
      </c>
      <c r="C112" t="s">
        <v>260</v>
      </c>
      <c r="D112" t="s">
        <v>260</v>
      </c>
      <c r="E112" t="s">
        <v>271</v>
      </c>
      <c r="F112" t="s">
        <v>275</v>
      </c>
      <c r="G112" t="s">
        <v>275</v>
      </c>
      <c r="H112" t="s">
        <v>275</v>
      </c>
      <c r="I112" t="s">
        <v>260</v>
      </c>
    </row>
    <row r="113" spans="1:9" x14ac:dyDescent="0.25">
      <c r="A113" s="10">
        <v>45494</v>
      </c>
      <c r="B113" t="s">
        <v>267</v>
      </c>
      <c r="C113" t="s">
        <v>267</v>
      </c>
      <c r="D113" t="s">
        <v>267</v>
      </c>
      <c r="E113" t="s">
        <v>267</v>
      </c>
      <c r="F113" t="s">
        <v>267</v>
      </c>
      <c r="G113" t="s">
        <v>267</v>
      </c>
      <c r="H113" t="s">
        <v>267</v>
      </c>
      <c r="I113" t="s">
        <v>267</v>
      </c>
    </row>
    <row r="114" spans="1:9" x14ac:dyDescent="0.25">
      <c r="A114" s="10">
        <v>45495</v>
      </c>
      <c r="B114" t="s">
        <v>275</v>
      </c>
      <c r="C114" t="s">
        <v>275</v>
      </c>
      <c r="D114" t="s">
        <v>275</v>
      </c>
      <c r="E114" t="s">
        <v>275</v>
      </c>
      <c r="F114" t="s">
        <v>271</v>
      </c>
      <c r="G114" t="s">
        <v>275</v>
      </c>
      <c r="H114" t="s">
        <v>275</v>
      </c>
      <c r="I114" t="s">
        <v>271</v>
      </c>
    </row>
    <row r="115" spans="1:9" x14ac:dyDescent="0.25">
      <c r="A115" s="10">
        <v>45496</v>
      </c>
      <c r="B115" t="s">
        <v>275</v>
      </c>
      <c r="C115" t="s">
        <v>275</v>
      </c>
      <c r="D115" t="s">
        <v>275</v>
      </c>
      <c r="E115" t="s">
        <v>275</v>
      </c>
      <c r="F115" t="s">
        <v>260</v>
      </c>
      <c r="G115" t="s">
        <v>271</v>
      </c>
      <c r="H115" t="s">
        <v>271</v>
      </c>
      <c r="I115" t="s">
        <v>275</v>
      </c>
    </row>
    <row r="116" spans="1:9" x14ac:dyDescent="0.25">
      <c r="A116" s="10">
        <v>45497</v>
      </c>
      <c r="B116" t="s">
        <v>275</v>
      </c>
      <c r="C116" t="s">
        <v>275</v>
      </c>
      <c r="D116" t="s">
        <v>260</v>
      </c>
      <c r="E116" t="s">
        <v>275</v>
      </c>
      <c r="F116" t="s">
        <v>275</v>
      </c>
      <c r="G116" t="s">
        <v>275</v>
      </c>
      <c r="H116" t="s">
        <v>275</v>
      </c>
      <c r="I116" t="s">
        <v>275</v>
      </c>
    </row>
    <row r="117" spans="1:9" x14ac:dyDescent="0.25">
      <c r="A117" s="10">
        <v>45498</v>
      </c>
      <c r="B117" t="s">
        <v>275</v>
      </c>
      <c r="C117" t="s">
        <v>275</v>
      </c>
      <c r="D117" t="s">
        <v>260</v>
      </c>
      <c r="E117" t="s">
        <v>260</v>
      </c>
      <c r="F117" t="s">
        <v>275</v>
      </c>
      <c r="G117" t="s">
        <v>271</v>
      </c>
      <c r="H117" t="s">
        <v>275</v>
      </c>
      <c r="I117" t="s">
        <v>275</v>
      </c>
    </row>
    <row r="118" spans="1:9" x14ac:dyDescent="0.25">
      <c r="A118" s="10">
        <v>45499</v>
      </c>
      <c r="B118" t="s">
        <v>275</v>
      </c>
      <c r="C118" t="s">
        <v>275</v>
      </c>
      <c r="D118" t="s">
        <v>275</v>
      </c>
      <c r="E118" t="s">
        <v>275</v>
      </c>
      <c r="F118" t="s">
        <v>275</v>
      </c>
      <c r="G118" t="s">
        <v>271</v>
      </c>
      <c r="H118" t="s">
        <v>275</v>
      </c>
      <c r="I118" t="s">
        <v>260</v>
      </c>
    </row>
    <row r="119" spans="1:9" x14ac:dyDescent="0.25">
      <c r="A119" s="10">
        <v>45500</v>
      </c>
      <c r="B119" t="s">
        <v>275</v>
      </c>
      <c r="C119" t="s">
        <v>275</v>
      </c>
      <c r="D119" t="s">
        <v>275</v>
      </c>
      <c r="E119" t="s">
        <v>271</v>
      </c>
      <c r="F119" t="s">
        <v>271</v>
      </c>
      <c r="G119" t="s">
        <v>275</v>
      </c>
      <c r="H119" t="s">
        <v>275</v>
      </c>
      <c r="I119" t="s">
        <v>275</v>
      </c>
    </row>
    <row r="120" spans="1:9" x14ac:dyDescent="0.25">
      <c r="A120" s="10">
        <v>45501</v>
      </c>
      <c r="B120" t="s">
        <v>267</v>
      </c>
      <c r="C120" t="s">
        <v>267</v>
      </c>
      <c r="D120" t="s">
        <v>267</v>
      </c>
      <c r="E120" t="s">
        <v>267</v>
      </c>
      <c r="F120" t="s">
        <v>267</v>
      </c>
      <c r="G120" t="s">
        <v>267</v>
      </c>
      <c r="H120" t="s">
        <v>267</v>
      </c>
      <c r="I120" t="s">
        <v>267</v>
      </c>
    </row>
    <row r="121" spans="1:9" x14ac:dyDescent="0.25">
      <c r="A121" s="10">
        <v>45502</v>
      </c>
      <c r="B121" t="s">
        <v>275</v>
      </c>
      <c r="C121" t="s">
        <v>275</v>
      </c>
      <c r="D121" t="s">
        <v>275</v>
      </c>
      <c r="E121" t="s">
        <v>275</v>
      </c>
      <c r="F121" t="s">
        <v>275</v>
      </c>
      <c r="G121" t="s">
        <v>271</v>
      </c>
      <c r="H121" t="s">
        <v>275</v>
      </c>
      <c r="I121" t="s">
        <v>275</v>
      </c>
    </row>
    <row r="122" spans="1:9" x14ac:dyDescent="0.25">
      <c r="A122" s="10">
        <v>45503</v>
      </c>
      <c r="B122" t="s">
        <v>275</v>
      </c>
      <c r="C122" t="s">
        <v>275</v>
      </c>
      <c r="D122" t="s">
        <v>275</v>
      </c>
      <c r="E122" t="s">
        <v>275</v>
      </c>
      <c r="F122" t="s">
        <v>275</v>
      </c>
      <c r="G122" t="s">
        <v>260</v>
      </c>
      <c r="H122" t="s">
        <v>275</v>
      </c>
      <c r="I122" t="s">
        <v>275</v>
      </c>
    </row>
    <row r="123" spans="1:9" x14ac:dyDescent="0.25">
      <c r="A123" s="10">
        <v>45504</v>
      </c>
      <c r="B123" t="s">
        <v>275</v>
      </c>
      <c r="C123" t="s">
        <v>271</v>
      </c>
      <c r="D123" t="s">
        <v>260</v>
      </c>
      <c r="E123" t="s">
        <v>275</v>
      </c>
      <c r="F123" t="s">
        <v>275</v>
      </c>
      <c r="G123" t="s">
        <v>275</v>
      </c>
      <c r="H123" t="s">
        <v>271</v>
      </c>
      <c r="I123" t="s">
        <v>275</v>
      </c>
    </row>
    <row r="124" spans="1:9" x14ac:dyDescent="0.25">
      <c r="A124" s="10">
        <v>45505</v>
      </c>
      <c r="B124" t="s">
        <v>271</v>
      </c>
      <c r="C124" t="s">
        <v>260</v>
      </c>
      <c r="D124" t="s">
        <v>275</v>
      </c>
      <c r="E124" t="s">
        <v>260</v>
      </c>
      <c r="F124" t="s">
        <v>275</v>
      </c>
      <c r="G124" t="s">
        <v>260</v>
      </c>
      <c r="H124" t="s">
        <v>260</v>
      </c>
      <c r="I124" t="s">
        <v>275</v>
      </c>
    </row>
    <row r="125" spans="1:9" x14ac:dyDescent="0.25">
      <c r="A125" s="10">
        <v>45506</v>
      </c>
      <c r="B125" t="s">
        <v>271</v>
      </c>
      <c r="C125" t="s">
        <v>275</v>
      </c>
      <c r="D125" t="s">
        <v>271</v>
      </c>
      <c r="E125" t="s">
        <v>275</v>
      </c>
      <c r="F125" t="s">
        <v>271</v>
      </c>
      <c r="G125" t="s">
        <v>275</v>
      </c>
      <c r="H125" t="s">
        <v>275</v>
      </c>
      <c r="I125" t="s">
        <v>275</v>
      </c>
    </row>
    <row r="126" spans="1:9" x14ac:dyDescent="0.25">
      <c r="A126" s="10">
        <v>45507</v>
      </c>
      <c r="B126" t="s">
        <v>260</v>
      </c>
      <c r="C126" t="s">
        <v>271</v>
      </c>
      <c r="D126" t="s">
        <v>260</v>
      </c>
      <c r="E126" t="s">
        <v>260</v>
      </c>
      <c r="F126" t="s">
        <v>275</v>
      </c>
      <c r="G126" t="s">
        <v>275</v>
      </c>
      <c r="H126" t="s">
        <v>260</v>
      </c>
      <c r="I126" t="s">
        <v>275</v>
      </c>
    </row>
    <row r="127" spans="1:9" x14ac:dyDescent="0.25">
      <c r="A127" s="10">
        <v>45508</v>
      </c>
      <c r="B127" t="s">
        <v>267</v>
      </c>
      <c r="C127" t="s">
        <v>267</v>
      </c>
      <c r="D127" t="s">
        <v>267</v>
      </c>
      <c r="E127" t="s">
        <v>267</v>
      </c>
      <c r="F127" t="s">
        <v>267</v>
      </c>
      <c r="G127" t="s">
        <v>267</v>
      </c>
      <c r="H127" t="s">
        <v>267</v>
      </c>
      <c r="I127" t="s">
        <v>267</v>
      </c>
    </row>
    <row r="128" spans="1:9" x14ac:dyDescent="0.25">
      <c r="A128" s="10">
        <v>45509</v>
      </c>
      <c r="B128" t="s">
        <v>271</v>
      </c>
      <c r="C128" t="s">
        <v>271</v>
      </c>
      <c r="D128" t="s">
        <v>275</v>
      </c>
      <c r="E128" t="s">
        <v>275</v>
      </c>
      <c r="F128" t="s">
        <v>275</v>
      </c>
      <c r="G128" t="s">
        <v>271</v>
      </c>
      <c r="H128" t="s">
        <v>275</v>
      </c>
      <c r="I128" t="s">
        <v>275</v>
      </c>
    </row>
    <row r="129" spans="1:9" x14ac:dyDescent="0.25">
      <c r="A129" s="10">
        <v>45510</v>
      </c>
      <c r="B129" t="s">
        <v>275</v>
      </c>
      <c r="C129" t="s">
        <v>275</v>
      </c>
      <c r="D129" t="s">
        <v>275</v>
      </c>
      <c r="E129" t="s">
        <v>271</v>
      </c>
      <c r="F129" t="s">
        <v>275</v>
      </c>
      <c r="G129" t="s">
        <v>275</v>
      </c>
      <c r="H129" t="s">
        <v>260</v>
      </c>
      <c r="I129" t="s">
        <v>271</v>
      </c>
    </row>
    <row r="130" spans="1:9" x14ac:dyDescent="0.25">
      <c r="A130" s="10">
        <v>45511</v>
      </c>
      <c r="B130" t="s">
        <v>260</v>
      </c>
      <c r="C130" t="s">
        <v>271</v>
      </c>
      <c r="D130" t="s">
        <v>260</v>
      </c>
      <c r="E130" t="s">
        <v>275</v>
      </c>
      <c r="F130" t="s">
        <v>275</v>
      </c>
      <c r="G130" t="s">
        <v>275</v>
      </c>
      <c r="H130" t="s">
        <v>271</v>
      </c>
      <c r="I130" t="s">
        <v>275</v>
      </c>
    </row>
    <row r="131" spans="1:9" x14ac:dyDescent="0.25">
      <c r="A131" s="10">
        <v>45512</v>
      </c>
      <c r="B131" t="s">
        <v>260</v>
      </c>
      <c r="C131" t="s">
        <v>260</v>
      </c>
      <c r="D131" t="s">
        <v>275</v>
      </c>
      <c r="E131" t="s">
        <v>271</v>
      </c>
      <c r="F131" t="s">
        <v>275</v>
      </c>
      <c r="G131" t="s">
        <v>260</v>
      </c>
      <c r="H131" t="s">
        <v>260</v>
      </c>
      <c r="I131" t="s">
        <v>275</v>
      </c>
    </row>
    <row r="132" spans="1:9" x14ac:dyDescent="0.25">
      <c r="A132" s="10">
        <v>45513</v>
      </c>
      <c r="B132" t="s">
        <v>275</v>
      </c>
      <c r="C132" t="s">
        <v>275</v>
      </c>
      <c r="D132" t="s">
        <v>271</v>
      </c>
      <c r="E132" t="s">
        <v>275</v>
      </c>
      <c r="F132" t="s">
        <v>271</v>
      </c>
      <c r="G132" t="s">
        <v>271</v>
      </c>
      <c r="H132" t="s">
        <v>275</v>
      </c>
      <c r="I132" t="s">
        <v>275</v>
      </c>
    </row>
    <row r="133" spans="1:9" x14ac:dyDescent="0.25">
      <c r="A133" s="10">
        <v>45514</v>
      </c>
      <c r="B133" t="s">
        <v>275</v>
      </c>
      <c r="C133" t="s">
        <v>260</v>
      </c>
      <c r="D133" t="s">
        <v>271</v>
      </c>
      <c r="E133" t="s">
        <v>260</v>
      </c>
      <c r="F133" t="s">
        <v>275</v>
      </c>
      <c r="G133" t="s">
        <v>275</v>
      </c>
      <c r="H133" t="s">
        <v>275</v>
      </c>
      <c r="I133" t="s">
        <v>275</v>
      </c>
    </row>
    <row r="134" spans="1:9" x14ac:dyDescent="0.25">
      <c r="A134" s="10">
        <v>45515</v>
      </c>
      <c r="B134" t="s">
        <v>267</v>
      </c>
      <c r="C134" t="s">
        <v>267</v>
      </c>
      <c r="D134" t="s">
        <v>267</v>
      </c>
      <c r="E134" t="s">
        <v>267</v>
      </c>
      <c r="F134" t="s">
        <v>267</v>
      </c>
      <c r="G134" t="s">
        <v>267</v>
      </c>
      <c r="H134" t="s">
        <v>267</v>
      </c>
      <c r="I134" t="s">
        <v>267</v>
      </c>
    </row>
    <row r="135" spans="1:9" x14ac:dyDescent="0.25">
      <c r="A135" s="10">
        <v>45516</v>
      </c>
      <c r="B135" t="s">
        <v>275</v>
      </c>
      <c r="C135" t="s">
        <v>275</v>
      </c>
      <c r="D135" t="s">
        <v>275</v>
      </c>
      <c r="E135" t="s">
        <v>275</v>
      </c>
      <c r="F135" t="s">
        <v>260</v>
      </c>
      <c r="G135" t="s">
        <v>275</v>
      </c>
      <c r="H135" t="s">
        <v>275</v>
      </c>
      <c r="I135" t="s">
        <v>260</v>
      </c>
    </row>
    <row r="136" spans="1:9" x14ac:dyDescent="0.25">
      <c r="A136" s="10">
        <v>45517</v>
      </c>
      <c r="B136" t="s">
        <v>275</v>
      </c>
      <c r="C136" t="s">
        <v>260</v>
      </c>
      <c r="D136" t="s">
        <v>275</v>
      </c>
      <c r="E136" t="s">
        <v>271</v>
      </c>
      <c r="F136" t="s">
        <v>260</v>
      </c>
      <c r="G136" t="s">
        <v>271</v>
      </c>
      <c r="H136" t="s">
        <v>275</v>
      </c>
      <c r="I136" t="s">
        <v>260</v>
      </c>
    </row>
    <row r="137" spans="1:9" x14ac:dyDescent="0.25">
      <c r="A137" s="10">
        <v>45518</v>
      </c>
      <c r="B137" t="s">
        <v>271</v>
      </c>
      <c r="C137" t="s">
        <v>275</v>
      </c>
      <c r="D137" t="s">
        <v>275</v>
      </c>
      <c r="E137" t="s">
        <v>275</v>
      </c>
      <c r="F137" t="s">
        <v>275</v>
      </c>
      <c r="G137" t="s">
        <v>275</v>
      </c>
      <c r="H137" t="s">
        <v>260</v>
      </c>
      <c r="I137" t="s">
        <v>271</v>
      </c>
    </row>
    <row r="138" spans="1:9" x14ac:dyDescent="0.25">
      <c r="A138" s="10">
        <v>45519</v>
      </c>
      <c r="B138" t="s">
        <v>271</v>
      </c>
      <c r="C138" t="s">
        <v>275</v>
      </c>
      <c r="D138" t="s">
        <v>275</v>
      </c>
      <c r="E138" t="s">
        <v>271</v>
      </c>
      <c r="F138" t="s">
        <v>275</v>
      </c>
      <c r="G138" t="s">
        <v>275</v>
      </c>
      <c r="H138" t="s">
        <v>260</v>
      </c>
      <c r="I138" t="s">
        <v>271</v>
      </c>
    </row>
    <row r="139" spans="1:9" x14ac:dyDescent="0.25">
      <c r="A139" s="10">
        <v>45520</v>
      </c>
      <c r="B139" t="s">
        <v>275</v>
      </c>
      <c r="C139" t="s">
        <v>275</v>
      </c>
      <c r="D139" t="s">
        <v>275</v>
      </c>
      <c r="E139" t="s">
        <v>260</v>
      </c>
      <c r="F139" t="s">
        <v>275</v>
      </c>
      <c r="G139" t="s">
        <v>275</v>
      </c>
      <c r="H139" t="s">
        <v>260</v>
      </c>
      <c r="I139" t="s">
        <v>275</v>
      </c>
    </row>
    <row r="140" spans="1:9" x14ac:dyDescent="0.25">
      <c r="A140" s="10">
        <v>45521</v>
      </c>
      <c r="B140" t="s">
        <v>260</v>
      </c>
      <c r="C140" t="s">
        <v>260</v>
      </c>
      <c r="D140" t="s">
        <v>275</v>
      </c>
      <c r="E140" t="s">
        <v>260</v>
      </c>
      <c r="F140" t="s">
        <v>275</v>
      </c>
      <c r="G140" t="s">
        <v>271</v>
      </c>
      <c r="H140" t="s">
        <v>271</v>
      </c>
      <c r="I140" t="s">
        <v>271</v>
      </c>
    </row>
    <row r="141" spans="1:9" x14ac:dyDescent="0.25">
      <c r="A141" s="10">
        <v>45522</v>
      </c>
      <c r="B141" t="s">
        <v>267</v>
      </c>
      <c r="C141" t="s">
        <v>267</v>
      </c>
      <c r="D141" t="s">
        <v>267</v>
      </c>
      <c r="E141" t="s">
        <v>267</v>
      </c>
      <c r="F141" t="s">
        <v>267</v>
      </c>
      <c r="G141" t="s">
        <v>267</v>
      </c>
      <c r="H141" t="s">
        <v>267</v>
      </c>
      <c r="I141" t="s">
        <v>267</v>
      </c>
    </row>
    <row r="142" spans="1:9" x14ac:dyDescent="0.25">
      <c r="A142" s="10">
        <v>45523</v>
      </c>
      <c r="B142" t="s">
        <v>271</v>
      </c>
      <c r="C142" t="s">
        <v>275</v>
      </c>
      <c r="D142" t="s">
        <v>275</v>
      </c>
      <c r="E142" t="s">
        <v>260</v>
      </c>
      <c r="F142" t="s">
        <v>271</v>
      </c>
      <c r="G142" t="s">
        <v>275</v>
      </c>
      <c r="H142" t="s">
        <v>271</v>
      </c>
      <c r="I142" t="s">
        <v>275</v>
      </c>
    </row>
    <row r="143" spans="1:9" x14ac:dyDescent="0.25">
      <c r="A143" s="10">
        <v>45524</v>
      </c>
      <c r="B143" t="s">
        <v>275</v>
      </c>
      <c r="C143" t="s">
        <v>275</v>
      </c>
      <c r="D143" t="s">
        <v>260</v>
      </c>
      <c r="E143" t="s">
        <v>271</v>
      </c>
      <c r="F143" t="s">
        <v>271</v>
      </c>
      <c r="G143" t="s">
        <v>260</v>
      </c>
      <c r="H143" t="s">
        <v>275</v>
      </c>
      <c r="I143" t="s">
        <v>271</v>
      </c>
    </row>
    <row r="144" spans="1:9" x14ac:dyDescent="0.25">
      <c r="A144" s="10">
        <v>45525</v>
      </c>
      <c r="B144" t="s">
        <v>275</v>
      </c>
      <c r="C144" t="s">
        <v>275</v>
      </c>
      <c r="D144" t="s">
        <v>275</v>
      </c>
      <c r="E144" t="s">
        <v>275</v>
      </c>
      <c r="F144" t="s">
        <v>275</v>
      </c>
      <c r="G144" t="s">
        <v>260</v>
      </c>
      <c r="H144" t="s">
        <v>275</v>
      </c>
      <c r="I144" t="s">
        <v>275</v>
      </c>
    </row>
    <row r="145" spans="1:9" x14ac:dyDescent="0.25">
      <c r="A145" s="10">
        <v>45526</v>
      </c>
      <c r="B145" t="s">
        <v>260</v>
      </c>
      <c r="C145" t="s">
        <v>260</v>
      </c>
      <c r="D145" t="s">
        <v>260</v>
      </c>
      <c r="E145" t="s">
        <v>275</v>
      </c>
      <c r="F145" t="s">
        <v>260</v>
      </c>
      <c r="G145" t="s">
        <v>275</v>
      </c>
      <c r="H145" t="s">
        <v>275</v>
      </c>
      <c r="I145" t="s">
        <v>275</v>
      </c>
    </row>
    <row r="146" spans="1:9" x14ac:dyDescent="0.25">
      <c r="A146" s="10">
        <v>45527</v>
      </c>
      <c r="B146" t="s">
        <v>275</v>
      </c>
      <c r="C146" t="s">
        <v>271</v>
      </c>
      <c r="D146" t="s">
        <v>271</v>
      </c>
      <c r="E146" t="s">
        <v>275</v>
      </c>
      <c r="F146" t="s">
        <v>260</v>
      </c>
      <c r="G146" t="s">
        <v>275</v>
      </c>
      <c r="H146" t="s">
        <v>271</v>
      </c>
      <c r="I146" t="s">
        <v>275</v>
      </c>
    </row>
    <row r="147" spans="1:9" x14ac:dyDescent="0.25">
      <c r="A147" s="10">
        <v>45528</v>
      </c>
      <c r="B147" t="s">
        <v>260</v>
      </c>
      <c r="C147" t="s">
        <v>275</v>
      </c>
      <c r="D147" t="s">
        <v>275</v>
      </c>
      <c r="E147" t="s">
        <v>275</v>
      </c>
      <c r="F147" t="s">
        <v>275</v>
      </c>
      <c r="G147" t="s">
        <v>271</v>
      </c>
      <c r="H147" t="s">
        <v>271</v>
      </c>
      <c r="I147" t="s">
        <v>275</v>
      </c>
    </row>
    <row r="148" spans="1:9" x14ac:dyDescent="0.25">
      <c r="A148" s="10">
        <v>45529</v>
      </c>
      <c r="B148" t="s">
        <v>267</v>
      </c>
      <c r="C148" t="s">
        <v>267</v>
      </c>
      <c r="D148" t="s">
        <v>267</v>
      </c>
      <c r="E148" t="s">
        <v>267</v>
      </c>
      <c r="F148" t="s">
        <v>267</v>
      </c>
      <c r="G148" t="s">
        <v>267</v>
      </c>
      <c r="H148" t="s">
        <v>267</v>
      </c>
      <c r="I148" t="s">
        <v>267</v>
      </c>
    </row>
    <row r="149" spans="1:9" x14ac:dyDescent="0.25">
      <c r="A149" s="10">
        <v>45530</v>
      </c>
      <c r="B149" t="s">
        <v>275</v>
      </c>
      <c r="C149" t="s">
        <v>275</v>
      </c>
      <c r="D149" t="s">
        <v>260</v>
      </c>
      <c r="E149" t="s">
        <v>275</v>
      </c>
      <c r="F149" t="s">
        <v>260</v>
      </c>
      <c r="G149" t="s">
        <v>260</v>
      </c>
      <c r="H149" t="s">
        <v>275</v>
      </c>
      <c r="I149" t="s">
        <v>271</v>
      </c>
    </row>
    <row r="150" spans="1:9" x14ac:dyDescent="0.25">
      <c r="A150" s="10">
        <v>45531</v>
      </c>
      <c r="B150" t="s">
        <v>271</v>
      </c>
      <c r="C150" t="s">
        <v>260</v>
      </c>
      <c r="D150" t="s">
        <v>260</v>
      </c>
      <c r="E150" t="s">
        <v>271</v>
      </c>
      <c r="F150" t="s">
        <v>275</v>
      </c>
      <c r="G150" t="s">
        <v>260</v>
      </c>
      <c r="H150" t="s">
        <v>275</v>
      </c>
      <c r="I150" t="s">
        <v>275</v>
      </c>
    </row>
    <row r="151" spans="1:9" x14ac:dyDescent="0.25">
      <c r="A151" s="10">
        <v>45532</v>
      </c>
      <c r="B151" t="s">
        <v>275</v>
      </c>
      <c r="C151" t="s">
        <v>260</v>
      </c>
      <c r="D151" t="s">
        <v>275</v>
      </c>
      <c r="E151" t="s">
        <v>275</v>
      </c>
      <c r="F151" t="s">
        <v>275</v>
      </c>
      <c r="G151" t="s">
        <v>275</v>
      </c>
      <c r="H151" t="s">
        <v>275</v>
      </c>
      <c r="I151" t="s">
        <v>271</v>
      </c>
    </row>
    <row r="152" spans="1:9" x14ac:dyDescent="0.25">
      <c r="A152" s="10">
        <v>45533</v>
      </c>
      <c r="B152" t="s">
        <v>275</v>
      </c>
      <c r="C152" t="s">
        <v>275</v>
      </c>
      <c r="D152" t="s">
        <v>260</v>
      </c>
      <c r="E152" t="s">
        <v>271</v>
      </c>
      <c r="F152" t="s">
        <v>260</v>
      </c>
      <c r="G152" t="s">
        <v>275</v>
      </c>
      <c r="H152" t="s">
        <v>275</v>
      </c>
      <c r="I152" t="s">
        <v>275</v>
      </c>
    </row>
    <row r="153" spans="1:9" x14ac:dyDescent="0.25">
      <c r="A153" s="10">
        <v>45534</v>
      </c>
      <c r="B153" t="s">
        <v>260</v>
      </c>
      <c r="C153" t="s">
        <v>275</v>
      </c>
      <c r="D153" t="s">
        <v>271</v>
      </c>
      <c r="E153" t="s">
        <v>260</v>
      </c>
      <c r="F153" t="s">
        <v>275</v>
      </c>
      <c r="G153" t="s">
        <v>275</v>
      </c>
      <c r="H153" t="s">
        <v>275</v>
      </c>
      <c r="I153" t="s">
        <v>275</v>
      </c>
    </row>
    <row r="154" spans="1:9" x14ac:dyDescent="0.25">
      <c r="A154" s="10">
        <v>45535</v>
      </c>
      <c r="B154" t="s">
        <v>275</v>
      </c>
      <c r="C154" t="s">
        <v>271</v>
      </c>
      <c r="D154" t="s">
        <v>275</v>
      </c>
      <c r="E154" t="s">
        <v>275</v>
      </c>
      <c r="F154" t="s">
        <v>271</v>
      </c>
      <c r="G154" t="s">
        <v>275</v>
      </c>
      <c r="H154" t="s">
        <v>275</v>
      </c>
      <c r="I154" t="s">
        <v>271</v>
      </c>
    </row>
    <row r="155" spans="1:9" x14ac:dyDescent="0.25">
      <c r="A155" s="10">
        <v>45536</v>
      </c>
      <c r="B155" t="s">
        <v>267</v>
      </c>
      <c r="C155" t="s">
        <v>267</v>
      </c>
      <c r="D155" t="s">
        <v>267</v>
      </c>
      <c r="E155" t="s">
        <v>267</v>
      </c>
      <c r="F155" t="s">
        <v>267</v>
      </c>
      <c r="G155" t="s">
        <v>267</v>
      </c>
      <c r="H155" t="s">
        <v>267</v>
      </c>
      <c r="I155" t="s">
        <v>267</v>
      </c>
    </row>
    <row r="156" spans="1:9" x14ac:dyDescent="0.25">
      <c r="A156" s="10">
        <v>45537</v>
      </c>
      <c r="B156" t="s">
        <v>275</v>
      </c>
      <c r="C156" t="s">
        <v>275</v>
      </c>
      <c r="D156" t="s">
        <v>260</v>
      </c>
      <c r="E156" t="s">
        <v>275</v>
      </c>
      <c r="F156" t="s">
        <v>271</v>
      </c>
      <c r="G156" t="s">
        <v>275</v>
      </c>
      <c r="H156" t="s">
        <v>275</v>
      </c>
      <c r="I156" t="s">
        <v>275</v>
      </c>
    </row>
    <row r="157" spans="1:9" x14ac:dyDescent="0.25">
      <c r="A157" s="10">
        <v>45538</v>
      </c>
      <c r="B157" t="s">
        <v>275</v>
      </c>
      <c r="C157" t="s">
        <v>275</v>
      </c>
      <c r="D157" t="s">
        <v>275</v>
      </c>
      <c r="E157" t="s">
        <v>260</v>
      </c>
      <c r="F157" t="s">
        <v>275</v>
      </c>
      <c r="G157" t="s">
        <v>275</v>
      </c>
      <c r="H157" t="s">
        <v>275</v>
      </c>
      <c r="I157" t="s">
        <v>275</v>
      </c>
    </row>
    <row r="158" spans="1:9" x14ac:dyDescent="0.25">
      <c r="A158" s="10">
        <v>45539</v>
      </c>
      <c r="B158" t="s">
        <v>260</v>
      </c>
      <c r="C158" t="s">
        <v>275</v>
      </c>
      <c r="D158" t="s">
        <v>271</v>
      </c>
      <c r="E158" t="s">
        <v>275</v>
      </c>
      <c r="F158" t="s">
        <v>260</v>
      </c>
      <c r="G158" t="s">
        <v>260</v>
      </c>
      <c r="H158" t="s">
        <v>275</v>
      </c>
      <c r="I158" t="s">
        <v>275</v>
      </c>
    </row>
    <row r="159" spans="1:9" x14ac:dyDescent="0.25">
      <c r="A159" s="10">
        <v>45540</v>
      </c>
      <c r="B159" t="s">
        <v>275</v>
      </c>
      <c r="C159" t="s">
        <v>275</v>
      </c>
      <c r="D159" t="s">
        <v>275</v>
      </c>
      <c r="E159" t="s">
        <v>275</v>
      </c>
      <c r="F159" t="s">
        <v>275</v>
      </c>
      <c r="G159" t="s">
        <v>275</v>
      </c>
      <c r="H159" t="s">
        <v>275</v>
      </c>
      <c r="I159" t="s">
        <v>275</v>
      </c>
    </row>
    <row r="160" spans="1:9" x14ac:dyDescent="0.25">
      <c r="A160" s="10">
        <v>45541</v>
      </c>
      <c r="B160" t="s">
        <v>275</v>
      </c>
      <c r="C160" t="s">
        <v>260</v>
      </c>
      <c r="D160" t="s">
        <v>271</v>
      </c>
      <c r="E160" t="s">
        <v>275</v>
      </c>
      <c r="F160" t="s">
        <v>275</v>
      </c>
      <c r="G160" t="s">
        <v>275</v>
      </c>
      <c r="H160" t="s">
        <v>260</v>
      </c>
      <c r="I160" t="s">
        <v>271</v>
      </c>
    </row>
    <row r="161" spans="1:9" x14ac:dyDescent="0.25">
      <c r="A161" s="10">
        <v>45542</v>
      </c>
      <c r="B161" t="s">
        <v>275</v>
      </c>
      <c r="C161" t="s">
        <v>271</v>
      </c>
      <c r="D161" t="s">
        <v>275</v>
      </c>
      <c r="E161" t="s">
        <v>275</v>
      </c>
      <c r="F161" t="s">
        <v>271</v>
      </c>
      <c r="G161" t="s">
        <v>271</v>
      </c>
      <c r="H161" t="s">
        <v>271</v>
      </c>
      <c r="I161" t="s">
        <v>271</v>
      </c>
    </row>
    <row r="162" spans="1:9" x14ac:dyDescent="0.25">
      <c r="A162" s="10">
        <v>45543</v>
      </c>
      <c r="B162" t="s">
        <v>267</v>
      </c>
      <c r="C162" t="s">
        <v>267</v>
      </c>
      <c r="D162" t="s">
        <v>267</v>
      </c>
      <c r="E162" t="s">
        <v>267</v>
      </c>
      <c r="F162" t="s">
        <v>267</v>
      </c>
      <c r="G162" t="s">
        <v>267</v>
      </c>
      <c r="H162" t="s">
        <v>267</v>
      </c>
      <c r="I162" t="s">
        <v>267</v>
      </c>
    </row>
    <row r="163" spans="1:9" x14ac:dyDescent="0.25">
      <c r="A163" s="10">
        <v>45544</v>
      </c>
      <c r="B163" t="s">
        <v>271</v>
      </c>
      <c r="C163" t="s">
        <v>275</v>
      </c>
      <c r="D163" t="s">
        <v>271</v>
      </c>
      <c r="E163" t="s">
        <v>275</v>
      </c>
      <c r="F163" t="s">
        <v>260</v>
      </c>
      <c r="G163" t="s">
        <v>271</v>
      </c>
      <c r="H163" t="s">
        <v>275</v>
      </c>
      <c r="I163" t="s">
        <v>275</v>
      </c>
    </row>
    <row r="164" spans="1:9" x14ac:dyDescent="0.25">
      <c r="A164" s="10">
        <v>45545</v>
      </c>
      <c r="B164" t="s">
        <v>271</v>
      </c>
      <c r="C164" t="s">
        <v>275</v>
      </c>
      <c r="D164" t="s">
        <v>271</v>
      </c>
      <c r="E164" t="s">
        <v>275</v>
      </c>
      <c r="F164" t="s">
        <v>260</v>
      </c>
      <c r="G164" t="s">
        <v>275</v>
      </c>
      <c r="H164" t="s">
        <v>271</v>
      </c>
      <c r="I164" t="s">
        <v>275</v>
      </c>
    </row>
    <row r="165" spans="1:9" x14ac:dyDescent="0.25">
      <c r="A165" s="10">
        <v>45546</v>
      </c>
      <c r="B165" t="s">
        <v>271</v>
      </c>
      <c r="C165" t="s">
        <v>271</v>
      </c>
      <c r="D165" t="s">
        <v>260</v>
      </c>
      <c r="E165" t="s">
        <v>275</v>
      </c>
      <c r="F165" t="s">
        <v>260</v>
      </c>
      <c r="G165" t="s">
        <v>275</v>
      </c>
      <c r="H165" t="s">
        <v>275</v>
      </c>
      <c r="I165" t="s">
        <v>275</v>
      </c>
    </row>
    <row r="166" spans="1:9" x14ac:dyDescent="0.25">
      <c r="A166" s="10">
        <v>45547</v>
      </c>
      <c r="B166" t="s">
        <v>275</v>
      </c>
      <c r="C166" t="s">
        <v>260</v>
      </c>
      <c r="D166" t="s">
        <v>275</v>
      </c>
      <c r="E166" t="s">
        <v>275</v>
      </c>
      <c r="F166" t="s">
        <v>275</v>
      </c>
      <c r="G166" t="s">
        <v>275</v>
      </c>
      <c r="H166" t="s">
        <v>275</v>
      </c>
      <c r="I166" t="s">
        <v>271</v>
      </c>
    </row>
    <row r="167" spans="1:9" x14ac:dyDescent="0.25">
      <c r="A167" s="10">
        <v>45548</v>
      </c>
      <c r="B167" t="s">
        <v>271</v>
      </c>
      <c r="C167" t="s">
        <v>260</v>
      </c>
      <c r="D167" t="s">
        <v>271</v>
      </c>
      <c r="E167" t="s">
        <v>275</v>
      </c>
      <c r="F167" t="s">
        <v>275</v>
      </c>
      <c r="G167" t="s">
        <v>260</v>
      </c>
      <c r="H167" t="s">
        <v>275</v>
      </c>
      <c r="I167" t="s">
        <v>275</v>
      </c>
    </row>
    <row r="168" spans="1:9" x14ac:dyDescent="0.25">
      <c r="A168" s="10">
        <v>45549</v>
      </c>
      <c r="B168" t="s">
        <v>275</v>
      </c>
      <c r="C168" t="s">
        <v>275</v>
      </c>
      <c r="D168" t="s">
        <v>275</v>
      </c>
      <c r="E168" t="s">
        <v>275</v>
      </c>
      <c r="F168" t="s">
        <v>275</v>
      </c>
      <c r="G168" t="s">
        <v>275</v>
      </c>
      <c r="H168" t="s">
        <v>275</v>
      </c>
      <c r="I168" t="s">
        <v>275</v>
      </c>
    </row>
    <row r="169" spans="1:9" x14ac:dyDescent="0.25">
      <c r="A169" s="10">
        <v>45550</v>
      </c>
      <c r="B169" t="s">
        <v>267</v>
      </c>
      <c r="C169" t="s">
        <v>267</v>
      </c>
      <c r="D169" t="s">
        <v>267</v>
      </c>
      <c r="E169" t="s">
        <v>267</v>
      </c>
      <c r="F169" t="s">
        <v>267</v>
      </c>
      <c r="G169" t="s">
        <v>267</v>
      </c>
      <c r="H169" t="s">
        <v>267</v>
      </c>
      <c r="I169" t="s">
        <v>267</v>
      </c>
    </row>
    <row r="170" spans="1:9" x14ac:dyDescent="0.25">
      <c r="A170" s="10">
        <v>45551</v>
      </c>
      <c r="B170" t="s">
        <v>260</v>
      </c>
      <c r="C170" t="s">
        <v>260</v>
      </c>
      <c r="D170" t="s">
        <v>275</v>
      </c>
      <c r="E170" t="s">
        <v>275</v>
      </c>
      <c r="F170" t="s">
        <v>275</v>
      </c>
      <c r="G170" t="s">
        <v>275</v>
      </c>
      <c r="H170" t="s">
        <v>275</v>
      </c>
      <c r="I170" t="s">
        <v>271</v>
      </c>
    </row>
    <row r="171" spans="1:9" x14ac:dyDescent="0.25">
      <c r="A171" s="10">
        <v>45552</v>
      </c>
      <c r="B171" t="s">
        <v>271</v>
      </c>
      <c r="C171" t="s">
        <v>275</v>
      </c>
      <c r="D171" t="s">
        <v>275</v>
      </c>
      <c r="E171" t="s">
        <v>271</v>
      </c>
      <c r="F171" t="s">
        <v>275</v>
      </c>
      <c r="G171" t="s">
        <v>260</v>
      </c>
      <c r="H171" t="s">
        <v>260</v>
      </c>
      <c r="I171" t="s">
        <v>271</v>
      </c>
    </row>
    <row r="172" spans="1:9" x14ac:dyDescent="0.25">
      <c r="A172" s="10">
        <v>45553</v>
      </c>
      <c r="B172" t="s">
        <v>260</v>
      </c>
      <c r="C172" t="s">
        <v>275</v>
      </c>
      <c r="D172" t="s">
        <v>275</v>
      </c>
      <c r="E172" t="s">
        <v>275</v>
      </c>
      <c r="F172" t="s">
        <v>260</v>
      </c>
      <c r="G172" t="s">
        <v>275</v>
      </c>
      <c r="H172" t="s">
        <v>271</v>
      </c>
      <c r="I172" t="s">
        <v>275</v>
      </c>
    </row>
    <row r="173" spans="1:9" x14ac:dyDescent="0.25">
      <c r="A173" s="10">
        <v>45554</v>
      </c>
      <c r="B173" t="s">
        <v>260</v>
      </c>
      <c r="C173" t="s">
        <v>275</v>
      </c>
      <c r="D173" t="s">
        <v>260</v>
      </c>
      <c r="E173" t="s">
        <v>275</v>
      </c>
      <c r="F173" t="s">
        <v>260</v>
      </c>
      <c r="G173" t="s">
        <v>275</v>
      </c>
      <c r="H173" t="s">
        <v>275</v>
      </c>
      <c r="I173" t="s">
        <v>275</v>
      </c>
    </row>
    <row r="174" spans="1:9" x14ac:dyDescent="0.25">
      <c r="A174" s="10">
        <v>45555</v>
      </c>
      <c r="B174" t="s">
        <v>275</v>
      </c>
      <c r="C174" t="s">
        <v>260</v>
      </c>
      <c r="D174" t="s">
        <v>271</v>
      </c>
      <c r="E174" t="s">
        <v>275</v>
      </c>
      <c r="F174" t="s">
        <v>275</v>
      </c>
      <c r="G174" t="s">
        <v>275</v>
      </c>
      <c r="H174" t="s">
        <v>271</v>
      </c>
      <c r="I174" t="s">
        <v>275</v>
      </c>
    </row>
    <row r="175" spans="1:9" x14ac:dyDescent="0.25">
      <c r="A175" s="10">
        <v>45556</v>
      </c>
      <c r="B175" t="s">
        <v>275</v>
      </c>
      <c r="C175" t="s">
        <v>275</v>
      </c>
      <c r="D175" t="s">
        <v>275</v>
      </c>
      <c r="E175" t="s">
        <v>275</v>
      </c>
      <c r="F175" t="s">
        <v>260</v>
      </c>
      <c r="G175" t="s">
        <v>271</v>
      </c>
      <c r="H175" t="s">
        <v>275</v>
      </c>
      <c r="I175" t="s">
        <v>260</v>
      </c>
    </row>
    <row r="176" spans="1:9" x14ac:dyDescent="0.25">
      <c r="A176" s="10">
        <v>45557</v>
      </c>
      <c r="B176" t="s">
        <v>267</v>
      </c>
      <c r="C176" t="s">
        <v>267</v>
      </c>
      <c r="D176" t="s">
        <v>267</v>
      </c>
      <c r="E176" t="s">
        <v>267</v>
      </c>
      <c r="F176" t="s">
        <v>267</v>
      </c>
      <c r="G176" t="s">
        <v>267</v>
      </c>
      <c r="H176" t="s">
        <v>267</v>
      </c>
      <c r="I176" t="s">
        <v>267</v>
      </c>
    </row>
    <row r="177" spans="1:9" x14ac:dyDescent="0.25">
      <c r="A177" s="10">
        <v>45558</v>
      </c>
      <c r="B177" t="s">
        <v>275</v>
      </c>
      <c r="C177" t="s">
        <v>260</v>
      </c>
      <c r="D177" t="s">
        <v>275</v>
      </c>
      <c r="E177" t="s">
        <v>271</v>
      </c>
      <c r="F177" t="s">
        <v>275</v>
      </c>
      <c r="G177" t="s">
        <v>275</v>
      </c>
      <c r="H177" t="s">
        <v>260</v>
      </c>
      <c r="I177" t="s">
        <v>275</v>
      </c>
    </row>
    <row r="178" spans="1:9" x14ac:dyDescent="0.25">
      <c r="A178" s="10">
        <v>45559</v>
      </c>
      <c r="B178" t="s">
        <v>275</v>
      </c>
      <c r="C178" t="s">
        <v>260</v>
      </c>
      <c r="D178" t="s">
        <v>260</v>
      </c>
      <c r="E178" t="s">
        <v>275</v>
      </c>
      <c r="F178" t="s">
        <v>275</v>
      </c>
      <c r="G178" t="s">
        <v>271</v>
      </c>
      <c r="H178" t="s">
        <v>275</v>
      </c>
      <c r="I178" t="s">
        <v>275</v>
      </c>
    </row>
    <row r="179" spans="1:9" x14ac:dyDescent="0.25">
      <c r="A179" s="10">
        <v>45560</v>
      </c>
      <c r="B179" t="s">
        <v>275</v>
      </c>
      <c r="C179" t="s">
        <v>275</v>
      </c>
      <c r="D179" t="s">
        <v>275</v>
      </c>
      <c r="E179" t="s">
        <v>271</v>
      </c>
      <c r="F179" t="s">
        <v>260</v>
      </c>
      <c r="G179" t="s">
        <v>271</v>
      </c>
      <c r="H179" t="s">
        <v>275</v>
      </c>
      <c r="I179" t="s">
        <v>260</v>
      </c>
    </row>
    <row r="180" spans="1:9" x14ac:dyDescent="0.25">
      <c r="A180" s="10">
        <v>45561</v>
      </c>
      <c r="B180" t="s">
        <v>275</v>
      </c>
      <c r="C180" t="s">
        <v>271</v>
      </c>
      <c r="D180" t="s">
        <v>275</v>
      </c>
      <c r="E180" t="s">
        <v>260</v>
      </c>
      <c r="F180" t="s">
        <v>271</v>
      </c>
      <c r="G180" t="s">
        <v>275</v>
      </c>
      <c r="H180" t="s">
        <v>260</v>
      </c>
      <c r="I180" t="s">
        <v>275</v>
      </c>
    </row>
    <row r="181" spans="1:9" x14ac:dyDescent="0.25">
      <c r="A181" s="10">
        <v>45562</v>
      </c>
      <c r="B181" t="s">
        <v>271</v>
      </c>
      <c r="C181" t="s">
        <v>271</v>
      </c>
      <c r="D181" t="s">
        <v>275</v>
      </c>
      <c r="E181" t="s">
        <v>260</v>
      </c>
      <c r="F181" t="s">
        <v>275</v>
      </c>
      <c r="G181" t="s">
        <v>275</v>
      </c>
      <c r="H181" t="s">
        <v>271</v>
      </c>
      <c r="I181" t="s">
        <v>275</v>
      </c>
    </row>
    <row r="182" spans="1:9" x14ac:dyDescent="0.25">
      <c r="A182" s="10">
        <v>45563</v>
      </c>
      <c r="B182" t="s">
        <v>275</v>
      </c>
      <c r="C182" t="s">
        <v>275</v>
      </c>
      <c r="D182" t="s">
        <v>275</v>
      </c>
      <c r="E182" t="s">
        <v>260</v>
      </c>
      <c r="F182" t="s">
        <v>271</v>
      </c>
      <c r="G182" t="s">
        <v>275</v>
      </c>
      <c r="H182" t="s">
        <v>260</v>
      </c>
      <c r="I182" t="s">
        <v>271</v>
      </c>
    </row>
    <row r="183" spans="1:9" x14ac:dyDescent="0.25">
      <c r="A183" s="10">
        <v>45564</v>
      </c>
      <c r="B183" t="s">
        <v>267</v>
      </c>
      <c r="C183" t="s">
        <v>267</v>
      </c>
      <c r="D183" t="s">
        <v>267</v>
      </c>
      <c r="E183" t="s">
        <v>267</v>
      </c>
      <c r="F183" t="s">
        <v>267</v>
      </c>
      <c r="G183" t="s">
        <v>267</v>
      </c>
      <c r="H183" t="s">
        <v>267</v>
      </c>
      <c r="I183" t="s">
        <v>267</v>
      </c>
    </row>
    <row r="184" spans="1:9" x14ac:dyDescent="0.25">
      <c r="A184" s="10">
        <v>45565</v>
      </c>
      <c r="B184" t="s">
        <v>275</v>
      </c>
      <c r="C184" t="s">
        <v>260</v>
      </c>
      <c r="D184" t="s">
        <v>275</v>
      </c>
      <c r="E184" t="s">
        <v>271</v>
      </c>
      <c r="F184" t="s">
        <v>275</v>
      </c>
      <c r="G184" t="s">
        <v>275</v>
      </c>
      <c r="H184" t="s">
        <v>260</v>
      </c>
      <c r="I184" t="s">
        <v>260</v>
      </c>
    </row>
    <row r="185" spans="1:9" x14ac:dyDescent="0.25">
      <c r="A185" s="10">
        <v>45566</v>
      </c>
      <c r="B185" t="s">
        <v>260</v>
      </c>
      <c r="C185" t="s">
        <v>275</v>
      </c>
      <c r="D185" t="s">
        <v>275</v>
      </c>
      <c r="E185" t="s">
        <v>275</v>
      </c>
      <c r="F185" t="s">
        <v>260</v>
      </c>
      <c r="G185" t="s">
        <v>275</v>
      </c>
      <c r="H185" t="s">
        <v>275</v>
      </c>
      <c r="I185" t="s">
        <v>275</v>
      </c>
    </row>
    <row r="186" spans="1:9" x14ac:dyDescent="0.25">
      <c r="A186" s="10">
        <v>45567</v>
      </c>
      <c r="B186" t="s">
        <v>260</v>
      </c>
      <c r="C186" t="s">
        <v>275</v>
      </c>
      <c r="D186" t="s">
        <v>275</v>
      </c>
      <c r="E186" t="s">
        <v>275</v>
      </c>
      <c r="F186" t="s">
        <v>260</v>
      </c>
      <c r="G186" t="s">
        <v>275</v>
      </c>
      <c r="H186" t="s">
        <v>275</v>
      </c>
      <c r="I186" t="s">
        <v>275</v>
      </c>
    </row>
    <row r="187" spans="1:9" x14ac:dyDescent="0.25">
      <c r="A187" s="10">
        <v>45568</v>
      </c>
      <c r="B187" t="s">
        <v>275</v>
      </c>
      <c r="C187" t="s">
        <v>260</v>
      </c>
      <c r="D187" t="s">
        <v>275</v>
      </c>
      <c r="E187" t="s">
        <v>271</v>
      </c>
      <c r="F187" t="s">
        <v>260</v>
      </c>
      <c r="G187" t="s">
        <v>271</v>
      </c>
      <c r="H187" t="s">
        <v>275</v>
      </c>
      <c r="I187" t="s">
        <v>260</v>
      </c>
    </row>
    <row r="188" spans="1:9" x14ac:dyDescent="0.25">
      <c r="A188" s="10">
        <v>45569</v>
      </c>
      <c r="B188" t="s">
        <v>275</v>
      </c>
      <c r="C188" t="s">
        <v>275</v>
      </c>
      <c r="D188" t="s">
        <v>271</v>
      </c>
      <c r="E188" t="s">
        <v>260</v>
      </c>
      <c r="F188" t="s">
        <v>275</v>
      </c>
      <c r="G188" t="s">
        <v>275</v>
      </c>
      <c r="H188" t="s">
        <v>275</v>
      </c>
      <c r="I188" t="s">
        <v>275</v>
      </c>
    </row>
    <row r="189" spans="1:9" x14ac:dyDescent="0.25">
      <c r="A189" s="10">
        <v>45570</v>
      </c>
      <c r="B189" t="s">
        <v>271</v>
      </c>
      <c r="C189" t="s">
        <v>275</v>
      </c>
      <c r="D189" t="s">
        <v>275</v>
      </c>
      <c r="E189" t="s">
        <v>271</v>
      </c>
      <c r="F189" t="s">
        <v>275</v>
      </c>
      <c r="G189" t="s">
        <v>260</v>
      </c>
      <c r="H189" t="s">
        <v>275</v>
      </c>
      <c r="I189" t="s">
        <v>275</v>
      </c>
    </row>
    <row r="190" spans="1:9" x14ac:dyDescent="0.25">
      <c r="A190" s="10">
        <v>45571</v>
      </c>
      <c r="B190" t="s">
        <v>267</v>
      </c>
      <c r="C190" t="s">
        <v>267</v>
      </c>
      <c r="D190" t="s">
        <v>267</v>
      </c>
      <c r="E190" t="s">
        <v>267</v>
      </c>
      <c r="F190" t="s">
        <v>267</v>
      </c>
      <c r="G190" t="s">
        <v>267</v>
      </c>
      <c r="H190" t="s">
        <v>267</v>
      </c>
      <c r="I190" t="s">
        <v>267</v>
      </c>
    </row>
    <row r="191" spans="1:9" x14ac:dyDescent="0.25">
      <c r="A191" s="10">
        <v>45572</v>
      </c>
      <c r="B191" t="s">
        <v>271</v>
      </c>
      <c r="C191" t="s">
        <v>271</v>
      </c>
      <c r="D191" t="s">
        <v>275</v>
      </c>
      <c r="E191" t="s">
        <v>275</v>
      </c>
      <c r="F191" t="s">
        <v>260</v>
      </c>
      <c r="G191" t="s">
        <v>275</v>
      </c>
      <c r="H191" t="s">
        <v>271</v>
      </c>
      <c r="I191" t="s">
        <v>275</v>
      </c>
    </row>
    <row r="192" spans="1:9" x14ac:dyDescent="0.25">
      <c r="A192" s="10">
        <v>45573</v>
      </c>
      <c r="B192" t="s">
        <v>271</v>
      </c>
      <c r="C192" t="s">
        <v>275</v>
      </c>
      <c r="D192" t="s">
        <v>275</v>
      </c>
      <c r="E192" t="s">
        <v>275</v>
      </c>
      <c r="F192" t="s">
        <v>275</v>
      </c>
      <c r="G192" t="s">
        <v>275</v>
      </c>
      <c r="H192" t="s">
        <v>275</v>
      </c>
      <c r="I192" t="s">
        <v>271</v>
      </c>
    </row>
    <row r="193" spans="1:9" x14ac:dyDescent="0.25">
      <c r="A193" s="10">
        <v>45574</v>
      </c>
      <c r="B193" t="s">
        <v>260</v>
      </c>
      <c r="C193" t="s">
        <v>275</v>
      </c>
      <c r="D193" t="s">
        <v>275</v>
      </c>
      <c r="E193" t="s">
        <v>275</v>
      </c>
      <c r="F193" t="s">
        <v>275</v>
      </c>
      <c r="G193" t="s">
        <v>275</v>
      </c>
      <c r="H193" t="s">
        <v>260</v>
      </c>
      <c r="I193" t="s">
        <v>275</v>
      </c>
    </row>
    <row r="194" spans="1:9" x14ac:dyDescent="0.25">
      <c r="A194" s="10">
        <v>45575</v>
      </c>
      <c r="B194" t="s">
        <v>271</v>
      </c>
      <c r="C194" t="s">
        <v>275</v>
      </c>
      <c r="D194" t="s">
        <v>260</v>
      </c>
      <c r="E194" t="s">
        <v>275</v>
      </c>
      <c r="F194" t="s">
        <v>275</v>
      </c>
      <c r="G194" t="s">
        <v>260</v>
      </c>
      <c r="H194" t="s">
        <v>275</v>
      </c>
      <c r="I194" t="s">
        <v>275</v>
      </c>
    </row>
    <row r="195" spans="1:9" x14ac:dyDescent="0.25">
      <c r="A195" s="10">
        <v>45576</v>
      </c>
      <c r="B195" t="s">
        <v>275</v>
      </c>
      <c r="C195" t="s">
        <v>260</v>
      </c>
      <c r="D195" t="s">
        <v>271</v>
      </c>
      <c r="E195" t="s">
        <v>260</v>
      </c>
      <c r="F195" t="s">
        <v>275</v>
      </c>
      <c r="G195" t="s">
        <v>271</v>
      </c>
      <c r="H195" t="s">
        <v>260</v>
      </c>
      <c r="I195" t="s">
        <v>271</v>
      </c>
    </row>
    <row r="196" spans="1:9" x14ac:dyDescent="0.25">
      <c r="A196" s="10">
        <v>45577</v>
      </c>
      <c r="B196" t="s">
        <v>275</v>
      </c>
      <c r="C196" t="s">
        <v>275</v>
      </c>
      <c r="D196" t="s">
        <v>275</v>
      </c>
      <c r="E196" t="s">
        <v>275</v>
      </c>
      <c r="F196" t="s">
        <v>275</v>
      </c>
      <c r="G196" t="s">
        <v>275</v>
      </c>
      <c r="H196" t="s">
        <v>260</v>
      </c>
      <c r="I196" t="s">
        <v>275</v>
      </c>
    </row>
    <row r="197" spans="1:9" x14ac:dyDescent="0.25">
      <c r="A197" s="10">
        <v>45578</v>
      </c>
      <c r="B197" t="s">
        <v>267</v>
      </c>
      <c r="C197" t="s">
        <v>267</v>
      </c>
      <c r="D197" t="s">
        <v>267</v>
      </c>
      <c r="E197" t="s">
        <v>267</v>
      </c>
      <c r="F197" t="s">
        <v>267</v>
      </c>
      <c r="G197" t="s">
        <v>267</v>
      </c>
      <c r="H197" t="s">
        <v>267</v>
      </c>
      <c r="I197" t="s">
        <v>267</v>
      </c>
    </row>
    <row r="198" spans="1:9" x14ac:dyDescent="0.25">
      <c r="A198" s="10">
        <v>45579</v>
      </c>
      <c r="B198" t="s">
        <v>275</v>
      </c>
      <c r="C198" t="s">
        <v>271</v>
      </c>
      <c r="D198" t="s">
        <v>275</v>
      </c>
      <c r="E198" t="s">
        <v>260</v>
      </c>
      <c r="F198" t="s">
        <v>260</v>
      </c>
      <c r="G198" t="s">
        <v>275</v>
      </c>
      <c r="H198" t="s">
        <v>275</v>
      </c>
      <c r="I198" t="s">
        <v>275</v>
      </c>
    </row>
    <row r="199" spans="1:9" x14ac:dyDescent="0.25">
      <c r="A199" s="10">
        <v>45580</v>
      </c>
      <c r="B199" t="s">
        <v>275</v>
      </c>
      <c r="C199" t="s">
        <v>271</v>
      </c>
      <c r="D199" t="s">
        <v>275</v>
      </c>
      <c r="E199" t="s">
        <v>271</v>
      </c>
      <c r="F199" t="s">
        <v>271</v>
      </c>
      <c r="G199" t="s">
        <v>275</v>
      </c>
      <c r="H199" t="s">
        <v>275</v>
      </c>
      <c r="I199" t="s">
        <v>260</v>
      </c>
    </row>
    <row r="200" spans="1:9" x14ac:dyDescent="0.25">
      <c r="A200" s="10">
        <v>45581</v>
      </c>
      <c r="B200" t="s">
        <v>271</v>
      </c>
      <c r="C200" t="s">
        <v>275</v>
      </c>
      <c r="D200" t="s">
        <v>275</v>
      </c>
      <c r="E200" t="s">
        <v>275</v>
      </c>
      <c r="F200" t="s">
        <v>271</v>
      </c>
      <c r="G200" t="s">
        <v>275</v>
      </c>
      <c r="H200" t="s">
        <v>275</v>
      </c>
      <c r="I200" t="s">
        <v>275</v>
      </c>
    </row>
    <row r="201" spans="1:9" x14ac:dyDescent="0.25">
      <c r="A201" s="10">
        <v>45582</v>
      </c>
      <c r="B201" t="s">
        <v>275</v>
      </c>
      <c r="C201" t="s">
        <v>275</v>
      </c>
      <c r="D201" t="s">
        <v>275</v>
      </c>
      <c r="E201" t="s">
        <v>275</v>
      </c>
      <c r="F201" t="s">
        <v>275</v>
      </c>
      <c r="G201" t="s">
        <v>271</v>
      </c>
      <c r="H201" t="s">
        <v>275</v>
      </c>
      <c r="I201" t="s">
        <v>275</v>
      </c>
    </row>
    <row r="202" spans="1:9" x14ac:dyDescent="0.25">
      <c r="A202" s="10">
        <v>45583</v>
      </c>
      <c r="B202" t="s">
        <v>260</v>
      </c>
      <c r="C202" t="s">
        <v>275</v>
      </c>
      <c r="D202" t="s">
        <v>275</v>
      </c>
      <c r="E202" t="s">
        <v>275</v>
      </c>
      <c r="F202" t="s">
        <v>260</v>
      </c>
      <c r="G202" t="s">
        <v>275</v>
      </c>
      <c r="H202" t="s">
        <v>260</v>
      </c>
      <c r="I202" t="s">
        <v>271</v>
      </c>
    </row>
    <row r="203" spans="1:9" x14ac:dyDescent="0.25">
      <c r="A203" s="10">
        <v>45584</v>
      </c>
      <c r="B203" t="s">
        <v>271</v>
      </c>
      <c r="C203" t="s">
        <v>275</v>
      </c>
      <c r="D203" t="s">
        <v>260</v>
      </c>
      <c r="E203" t="s">
        <v>260</v>
      </c>
      <c r="F203" t="s">
        <v>275</v>
      </c>
      <c r="G203" t="s">
        <v>275</v>
      </c>
      <c r="H203" t="s">
        <v>275</v>
      </c>
      <c r="I203" t="s">
        <v>275</v>
      </c>
    </row>
    <row r="204" spans="1:9" x14ac:dyDescent="0.25">
      <c r="A204" s="10">
        <v>45585</v>
      </c>
      <c r="B204" t="s">
        <v>267</v>
      </c>
      <c r="C204" t="s">
        <v>267</v>
      </c>
      <c r="D204" t="s">
        <v>267</v>
      </c>
      <c r="E204" t="s">
        <v>267</v>
      </c>
      <c r="F204" t="s">
        <v>267</v>
      </c>
      <c r="G204" t="s">
        <v>267</v>
      </c>
      <c r="H204" t="s">
        <v>267</v>
      </c>
      <c r="I204" t="s">
        <v>267</v>
      </c>
    </row>
    <row r="205" spans="1:9" x14ac:dyDescent="0.25">
      <c r="A205" s="10">
        <v>45586</v>
      </c>
      <c r="B205" t="s">
        <v>275</v>
      </c>
      <c r="C205" t="s">
        <v>275</v>
      </c>
      <c r="D205" t="s">
        <v>275</v>
      </c>
      <c r="E205" t="s">
        <v>271</v>
      </c>
      <c r="F205" t="s">
        <v>275</v>
      </c>
      <c r="G205" t="s">
        <v>275</v>
      </c>
      <c r="H205" t="s">
        <v>260</v>
      </c>
      <c r="I205" t="s">
        <v>260</v>
      </c>
    </row>
    <row r="206" spans="1:9" x14ac:dyDescent="0.25">
      <c r="A206" s="10">
        <v>45587</v>
      </c>
      <c r="B206" t="s">
        <v>271</v>
      </c>
      <c r="C206" t="s">
        <v>275</v>
      </c>
      <c r="D206" t="s">
        <v>260</v>
      </c>
      <c r="E206" t="s">
        <v>275</v>
      </c>
      <c r="F206" t="s">
        <v>271</v>
      </c>
      <c r="G206" t="s">
        <v>275</v>
      </c>
      <c r="H206" t="s">
        <v>275</v>
      </c>
      <c r="I206" t="s">
        <v>275</v>
      </c>
    </row>
    <row r="207" spans="1:9" x14ac:dyDescent="0.25">
      <c r="A207" s="10">
        <v>45588</v>
      </c>
      <c r="B207" t="s">
        <v>275</v>
      </c>
      <c r="C207" t="s">
        <v>275</v>
      </c>
      <c r="D207" t="s">
        <v>275</v>
      </c>
      <c r="E207" t="s">
        <v>275</v>
      </c>
      <c r="F207" t="s">
        <v>275</v>
      </c>
      <c r="G207" t="s">
        <v>275</v>
      </c>
      <c r="H207" t="s">
        <v>275</v>
      </c>
      <c r="I207" t="s">
        <v>275</v>
      </c>
    </row>
    <row r="208" spans="1:9" x14ac:dyDescent="0.25">
      <c r="A208" s="10">
        <v>45589</v>
      </c>
      <c r="B208" t="s">
        <v>260</v>
      </c>
      <c r="C208" t="s">
        <v>271</v>
      </c>
      <c r="D208" t="s">
        <v>260</v>
      </c>
      <c r="E208" t="s">
        <v>275</v>
      </c>
      <c r="F208" t="s">
        <v>275</v>
      </c>
      <c r="G208" t="s">
        <v>275</v>
      </c>
      <c r="H208" t="s">
        <v>260</v>
      </c>
      <c r="I208" t="s">
        <v>275</v>
      </c>
    </row>
    <row r="209" spans="1:9" x14ac:dyDescent="0.25">
      <c r="A209" s="10">
        <v>45590</v>
      </c>
      <c r="B209" t="s">
        <v>275</v>
      </c>
      <c r="C209" t="s">
        <v>275</v>
      </c>
      <c r="D209" t="s">
        <v>260</v>
      </c>
      <c r="E209" t="s">
        <v>260</v>
      </c>
      <c r="F209" t="s">
        <v>275</v>
      </c>
      <c r="G209" t="s">
        <v>275</v>
      </c>
      <c r="H209" t="s">
        <v>271</v>
      </c>
      <c r="I209" t="s">
        <v>275</v>
      </c>
    </row>
    <row r="210" spans="1:9" x14ac:dyDescent="0.25">
      <c r="A210" s="10">
        <v>45591</v>
      </c>
      <c r="B210" t="s">
        <v>275</v>
      </c>
      <c r="C210" t="s">
        <v>271</v>
      </c>
      <c r="D210" t="s">
        <v>275</v>
      </c>
      <c r="E210" t="s">
        <v>275</v>
      </c>
      <c r="F210" t="s">
        <v>275</v>
      </c>
      <c r="G210" t="s">
        <v>260</v>
      </c>
      <c r="H210" t="s">
        <v>275</v>
      </c>
      <c r="I210" t="s">
        <v>275</v>
      </c>
    </row>
    <row r="211" spans="1:9" x14ac:dyDescent="0.25">
      <c r="A211" s="10">
        <v>45592</v>
      </c>
      <c r="B211" t="s">
        <v>267</v>
      </c>
      <c r="C211" t="s">
        <v>267</v>
      </c>
      <c r="D211" t="s">
        <v>267</v>
      </c>
      <c r="E211" t="s">
        <v>267</v>
      </c>
      <c r="F211" t="s">
        <v>267</v>
      </c>
      <c r="G211" t="s">
        <v>267</v>
      </c>
      <c r="H211" t="s">
        <v>267</v>
      </c>
      <c r="I211" t="s">
        <v>267</v>
      </c>
    </row>
    <row r="212" spans="1:9" x14ac:dyDescent="0.25">
      <c r="A212" s="10">
        <v>45593</v>
      </c>
      <c r="B212" t="s">
        <v>275</v>
      </c>
      <c r="C212" t="s">
        <v>275</v>
      </c>
      <c r="D212" t="s">
        <v>260</v>
      </c>
      <c r="E212" t="s">
        <v>271</v>
      </c>
      <c r="F212" t="s">
        <v>275</v>
      </c>
      <c r="G212" t="s">
        <v>275</v>
      </c>
      <c r="H212" t="s">
        <v>260</v>
      </c>
      <c r="I212" t="s">
        <v>260</v>
      </c>
    </row>
    <row r="213" spans="1:9" x14ac:dyDescent="0.25">
      <c r="A213" s="10">
        <v>45594</v>
      </c>
      <c r="B213" t="s">
        <v>275</v>
      </c>
      <c r="C213" t="s">
        <v>271</v>
      </c>
      <c r="D213" t="s">
        <v>275</v>
      </c>
      <c r="E213" t="s">
        <v>275</v>
      </c>
      <c r="F213" t="s">
        <v>271</v>
      </c>
      <c r="G213" t="s">
        <v>275</v>
      </c>
      <c r="H213" t="s">
        <v>271</v>
      </c>
      <c r="I213" t="s">
        <v>260</v>
      </c>
    </row>
    <row r="214" spans="1:9" x14ac:dyDescent="0.25">
      <c r="A214" s="10">
        <v>45595</v>
      </c>
      <c r="B214" t="s">
        <v>260</v>
      </c>
      <c r="C214" t="s">
        <v>275</v>
      </c>
      <c r="D214" t="s">
        <v>271</v>
      </c>
      <c r="E214" t="s">
        <v>275</v>
      </c>
      <c r="F214" t="s">
        <v>271</v>
      </c>
      <c r="G214" t="s">
        <v>260</v>
      </c>
      <c r="H214" t="s">
        <v>275</v>
      </c>
      <c r="I214" t="s">
        <v>260</v>
      </c>
    </row>
    <row r="215" spans="1:9" x14ac:dyDescent="0.25">
      <c r="A215" s="10">
        <v>45596</v>
      </c>
      <c r="B215" t="s">
        <v>275</v>
      </c>
      <c r="C215" t="s">
        <v>260</v>
      </c>
      <c r="D215" t="s">
        <v>275</v>
      </c>
      <c r="E215" t="s">
        <v>275</v>
      </c>
      <c r="F215" t="s">
        <v>275</v>
      </c>
      <c r="G215" t="s">
        <v>275</v>
      </c>
      <c r="H215" t="s">
        <v>275</v>
      </c>
      <c r="I215" t="s">
        <v>275</v>
      </c>
    </row>
    <row r="216" spans="1:9" x14ac:dyDescent="0.25">
      <c r="A216" s="10">
        <v>45597</v>
      </c>
      <c r="B216" t="s">
        <v>275</v>
      </c>
      <c r="C216" t="s">
        <v>260</v>
      </c>
      <c r="D216" t="s">
        <v>260</v>
      </c>
      <c r="E216" t="s">
        <v>271</v>
      </c>
      <c r="F216" t="s">
        <v>275</v>
      </c>
      <c r="G216" t="s">
        <v>275</v>
      </c>
      <c r="H216" t="s">
        <v>275</v>
      </c>
      <c r="I216" t="s">
        <v>275</v>
      </c>
    </row>
    <row r="217" spans="1:9" x14ac:dyDescent="0.25">
      <c r="A217" s="10">
        <v>45598</v>
      </c>
      <c r="B217" t="s">
        <v>260</v>
      </c>
      <c r="C217" t="s">
        <v>275</v>
      </c>
      <c r="D217" t="s">
        <v>260</v>
      </c>
      <c r="E217" t="s">
        <v>271</v>
      </c>
      <c r="F217" t="s">
        <v>275</v>
      </c>
      <c r="G217" t="s">
        <v>275</v>
      </c>
      <c r="H217" t="s">
        <v>275</v>
      </c>
      <c r="I217" t="s">
        <v>271</v>
      </c>
    </row>
    <row r="218" spans="1:9" x14ac:dyDescent="0.25">
      <c r="A218" s="10">
        <v>45599</v>
      </c>
      <c r="B218" t="s">
        <v>267</v>
      </c>
      <c r="C218" t="s">
        <v>267</v>
      </c>
      <c r="D218" t="s">
        <v>267</v>
      </c>
      <c r="E218" t="s">
        <v>267</v>
      </c>
      <c r="F218" t="s">
        <v>267</v>
      </c>
      <c r="G218" t="s">
        <v>267</v>
      </c>
      <c r="H218" t="s">
        <v>267</v>
      </c>
      <c r="I218" t="s">
        <v>267</v>
      </c>
    </row>
    <row r="219" spans="1:9" x14ac:dyDescent="0.25">
      <c r="A219" s="10">
        <v>45600</v>
      </c>
      <c r="B219" t="s">
        <v>275</v>
      </c>
      <c r="C219" t="s">
        <v>275</v>
      </c>
      <c r="D219" t="s">
        <v>275</v>
      </c>
      <c r="E219" t="s">
        <v>260</v>
      </c>
      <c r="F219" t="s">
        <v>275</v>
      </c>
      <c r="G219" t="s">
        <v>271</v>
      </c>
      <c r="H219" t="s">
        <v>275</v>
      </c>
      <c r="I219" t="s">
        <v>275</v>
      </c>
    </row>
    <row r="220" spans="1:9" x14ac:dyDescent="0.25">
      <c r="A220" s="10">
        <v>45601</v>
      </c>
      <c r="B220" t="s">
        <v>260</v>
      </c>
      <c r="C220" t="s">
        <v>275</v>
      </c>
      <c r="D220" t="s">
        <v>271</v>
      </c>
      <c r="E220" t="s">
        <v>275</v>
      </c>
      <c r="F220" t="s">
        <v>275</v>
      </c>
      <c r="G220" t="s">
        <v>275</v>
      </c>
      <c r="H220" t="s">
        <v>275</v>
      </c>
      <c r="I220" t="s">
        <v>275</v>
      </c>
    </row>
    <row r="221" spans="1:9" x14ac:dyDescent="0.25">
      <c r="A221" s="10">
        <v>45602</v>
      </c>
      <c r="B221" t="s">
        <v>275</v>
      </c>
      <c r="C221" t="s">
        <v>275</v>
      </c>
      <c r="D221" t="s">
        <v>275</v>
      </c>
      <c r="E221" t="s">
        <v>275</v>
      </c>
      <c r="F221" t="s">
        <v>271</v>
      </c>
      <c r="G221" t="s">
        <v>260</v>
      </c>
      <c r="H221" t="s">
        <v>260</v>
      </c>
      <c r="I221" t="s">
        <v>260</v>
      </c>
    </row>
    <row r="222" spans="1:9" x14ac:dyDescent="0.25">
      <c r="A222" s="10">
        <v>45603</v>
      </c>
      <c r="B222" t="s">
        <v>275</v>
      </c>
      <c r="C222" t="s">
        <v>275</v>
      </c>
      <c r="D222" t="s">
        <v>275</v>
      </c>
      <c r="E222" t="s">
        <v>271</v>
      </c>
      <c r="F222" t="s">
        <v>275</v>
      </c>
      <c r="G222" t="s">
        <v>275</v>
      </c>
      <c r="H222" t="s">
        <v>275</v>
      </c>
      <c r="I222" t="s">
        <v>271</v>
      </c>
    </row>
    <row r="223" spans="1:9" x14ac:dyDescent="0.25">
      <c r="A223" s="10">
        <v>45604</v>
      </c>
      <c r="B223" t="s">
        <v>271</v>
      </c>
      <c r="C223" t="s">
        <v>275</v>
      </c>
      <c r="D223" t="s">
        <v>275</v>
      </c>
      <c r="E223" t="s">
        <v>275</v>
      </c>
      <c r="F223" t="s">
        <v>260</v>
      </c>
      <c r="G223" t="s">
        <v>275</v>
      </c>
      <c r="H223" t="s">
        <v>275</v>
      </c>
      <c r="I223" t="s">
        <v>275</v>
      </c>
    </row>
    <row r="224" spans="1:9" x14ac:dyDescent="0.25">
      <c r="A224" s="10">
        <v>45605</v>
      </c>
      <c r="B224" t="s">
        <v>275</v>
      </c>
      <c r="C224" t="s">
        <v>275</v>
      </c>
      <c r="D224" t="s">
        <v>275</v>
      </c>
      <c r="E224" t="s">
        <v>275</v>
      </c>
      <c r="F224" t="s">
        <v>275</v>
      </c>
      <c r="G224" t="s">
        <v>271</v>
      </c>
      <c r="H224" t="s">
        <v>275</v>
      </c>
      <c r="I224" t="s">
        <v>275</v>
      </c>
    </row>
    <row r="225" spans="1:9" x14ac:dyDescent="0.25">
      <c r="A225" s="10">
        <v>45606</v>
      </c>
      <c r="B225" t="s">
        <v>267</v>
      </c>
      <c r="C225" t="s">
        <v>267</v>
      </c>
      <c r="D225" t="s">
        <v>267</v>
      </c>
      <c r="E225" t="s">
        <v>267</v>
      </c>
      <c r="F225" t="s">
        <v>267</v>
      </c>
      <c r="G225" t="s">
        <v>267</v>
      </c>
      <c r="H225" t="s">
        <v>267</v>
      </c>
      <c r="I225" t="s">
        <v>267</v>
      </c>
    </row>
    <row r="226" spans="1:9" x14ac:dyDescent="0.25">
      <c r="A226" s="10">
        <v>45607</v>
      </c>
      <c r="B226" t="s">
        <v>260</v>
      </c>
      <c r="C226" t="s">
        <v>271</v>
      </c>
      <c r="D226" t="s">
        <v>275</v>
      </c>
      <c r="E226" t="s">
        <v>271</v>
      </c>
      <c r="F226" t="s">
        <v>275</v>
      </c>
      <c r="G226" t="s">
        <v>275</v>
      </c>
      <c r="H226" t="s">
        <v>275</v>
      </c>
      <c r="I226" t="s">
        <v>275</v>
      </c>
    </row>
    <row r="227" spans="1:9" x14ac:dyDescent="0.25">
      <c r="A227" s="10">
        <v>45608</v>
      </c>
      <c r="B227" t="s">
        <v>271</v>
      </c>
      <c r="C227" t="s">
        <v>271</v>
      </c>
      <c r="D227" t="s">
        <v>271</v>
      </c>
      <c r="E227" t="s">
        <v>275</v>
      </c>
      <c r="F227" t="s">
        <v>260</v>
      </c>
      <c r="G227" t="s">
        <v>275</v>
      </c>
      <c r="H227" t="s">
        <v>260</v>
      </c>
      <c r="I227" t="s">
        <v>275</v>
      </c>
    </row>
    <row r="228" spans="1:9" x14ac:dyDescent="0.25">
      <c r="A228" s="10">
        <v>45609</v>
      </c>
      <c r="B228" t="s">
        <v>275</v>
      </c>
      <c r="C228" t="s">
        <v>275</v>
      </c>
      <c r="D228" t="s">
        <v>271</v>
      </c>
      <c r="E228" t="s">
        <v>271</v>
      </c>
      <c r="F228" t="s">
        <v>275</v>
      </c>
      <c r="G228" t="s">
        <v>271</v>
      </c>
      <c r="H228" t="s">
        <v>275</v>
      </c>
      <c r="I228" t="s">
        <v>275</v>
      </c>
    </row>
    <row r="229" spans="1:9" x14ac:dyDescent="0.25">
      <c r="A229" s="10">
        <v>45610</v>
      </c>
      <c r="B229" t="s">
        <v>260</v>
      </c>
      <c r="C229" t="s">
        <v>275</v>
      </c>
      <c r="D229" t="s">
        <v>271</v>
      </c>
      <c r="E229" t="s">
        <v>275</v>
      </c>
      <c r="F229" t="s">
        <v>275</v>
      </c>
      <c r="G229" t="s">
        <v>275</v>
      </c>
      <c r="H229" t="s">
        <v>275</v>
      </c>
      <c r="I229" t="s">
        <v>275</v>
      </c>
    </row>
    <row r="230" spans="1:9" x14ac:dyDescent="0.25">
      <c r="A230" s="10">
        <v>45611</v>
      </c>
      <c r="B230" t="s">
        <v>275</v>
      </c>
      <c r="C230" t="s">
        <v>275</v>
      </c>
      <c r="D230" t="s">
        <v>275</v>
      </c>
      <c r="E230" t="s">
        <v>275</v>
      </c>
      <c r="F230" t="s">
        <v>275</v>
      </c>
      <c r="G230" t="s">
        <v>271</v>
      </c>
      <c r="H230" t="s">
        <v>260</v>
      </c>
      <c r="I230" t="s">
        <v>275</v>
      </c>
    </row>
    <row r="231" spans="1:9" x14ac:dyDescent="0.25">
      <c r="A231" s="10">
        <v>45612</v>
      </c>
      <c r="B231" t="s">
        <v>260</v>
      </c>
      <c r="C231" t="s">
        <v>260</v>
      </c>
      <c r="D231" t="s">
        <v>275</v>
      </c>
      <c r="E231" t="s">
        <v>271</v>
      </c>
      <c r="F231" t="s">
        <v>260</v>
      </c>
      <c r="G231" t="s">
        <v>271</v>
      </c>
      <c r="H231" t="s">
        <v>271</v>
      </c>
      <c r="I231" t="s">
        <v>275</v>
      </c>
    </row>
    <row r="232" spans="1:9" x14ac:dyDescent="0.25">
      <c r="A232" s="10">
        <v>45613</v>
      </c>
      <c r="B232" t="s">
        <v>267</v>
      </c>
      <c r="C232" t="s">
        <v>267</v>
      </c>
      <c r="D232" t="s">
        <v>267</v>
      </c>
      <c r="E232" t="s">
        <v>267</v>
      </c>
      <c r="F232" t="s">
        <v>267</v>
      </c>
      <c r="G232" t="s">
        <v>267</v>
      </c>
      <c r="H232" t="s">
        <v>267</v>
      </c>
      <c r="I232" t="s">
        <v>267</v>
      </c>
    </row>
    <row r="233" spans="1:9" x14ac:dyDescent="0.25">
      <c r="A233" s="10">
        <v>45614</v>
      </c>
      <c r="B233" t="s">
        <v>271</v>
      </c>
      <c r="C233" t="s">
        <v>275</v>
      </c>
      <c r="D233" t="s">
        <v>271</v>
      </c>
      <c r="E233" t="s">
        <v>275</v>
      </c>
      <c r="F233" t="s">
        <v>271</v>
      </c>
      <c r="G233" t="s">
        <v>260</v>
      </c>
      <c r="H233" t="s">
        <v>275</v>
      </c>
      <c r="I233" t="s">
        <v>271</v>
      </c>
    </row>
    <row r="234" spans="1:9" x14ac:dyDescent="0.25">
      <c r="A234" s="10">
        <v>45615</v>
      </c>
      <c r="B234" t="s">
        <v>260</v>
      </c>
      <c r="C234" t="s">
        <v>275</v>
      </c>
      <c r="D234" t="s">
        <v>275</v>
      </c>
      <c r="E234" t="s">
        <v>275</v>
      </c>
      <c r="F234" t="s">
        <v>275</v>
      </c>
      <c r="G234" t="s">
        <v>260</v>
      </c>
      <c r="H234" t="s">
        <v>260</v>
      </c>
      <c r="I234" t="s">
        <v>275</v>
      </c>
    </row>
    <row r="235" spans="1:9" x14ac:dyDescent="0.25">
      <c r="A235" s="10">
        <v>45616</v>
      </c>
      <c r="B235" t="s">
        <v>275</v>
      </c>
      <c r="C235" t="s">
        <v>260</v>
      </c>
      <c r="D235" t="s">
        <v>271</v>
      </c>
      <c r="E235" t="s">
        <v>271</v>
      </c>
      <c r="F235" t="s">
        <v>275</v>
      </c>
      <c r="G235" t="s">
        <v>271</v>
      </c>
      <c r="H235" t="s">
        <v>275</v>
      </c>
      <c r="I235" t="s">
        <v>275</v>
      </c>
    </row>
    <row r="236" spans="1:9" x14ac:dyDescent="0.25">
      <c r="A236" s="10">
        <v>45617</v>
      </c>
      <c r="B236" t="s">
        <v>275</v>
      </c>
      <c r="C236" t="s">
        <v>260</v>
      </c>
      <c r="D236" t="s">
        <v>275</v>
      </c>
      <c r="E236" t="s">
        <v>275</v>
      </c>
      <c r="F236" t="s">
        <v>275</v>
      </c>
      <c r="G236" t="s">
        <v>275</v>
      </c>
      <c r="H236" t="s">
        <v>271</v>
      </c>
      <c r="I236" t="s">
        <v>275</v>
      </c>
    </row>
    <row r="237" spans="1:9" x14ac:dyDescent="0.25">
      <c r="A237" s="10">
        <v>45618</v>
      </c>
      <c r="B237" t="s">
        <v>275</v>
      </c>
      <c r="C237" t="s">
        <v>275</v>
      </c>
      <c r="D237" t="s">
        <v>260</v>
      </c>
      <c r="E237" t="s">
        <v>271</v>
      </c>
      <c r="F237" t="s">
        <v>260</v>
      </c>
      <c r="G237" t="s">
        <v>260</v>
      </c>
      <c r="H237" t="s">
        <v>275</v>
      </c>
      <c r="I237" t="s">
        <v>275</v>
      </c>
    </row>
    <row r="238" spans="1:9" x14ac:dyDescent="0.25">
      <c r="A238" s="10">
        <v>45619</v>
      </c>
      <c r="B238" t="s">
        <v>275</v>
      </c>
      <c r="C238" t="s">
        <v>271</v>
      </c>
      <c r="D238" t="s">
        <v>275</v>
      </c>
      <c r="E238" t="s">
        <v>260</v>
      </c>
      <c r="F238" t="s">
        <v>271</v>
      </c>
      <c r="G238" t="s">
        <v>271</v>
      </c>
      <c r="H238" t="s">
        <v>271</v>
      </c>
      <c r="I238" t="s">
        <v>275</v>
      </c>
    </row>
    <row r="239" spans="1:9" x14ac:dyDescent="0.25">
      <c r="A239" s="10">
        <v>45620</v>
      </c>
      <c r="B239" t="s">
        <v>267</v>
      </c>
      <c r="C239" t="s">
        <v>267</v>
      </c>
      <c r="D239" t="s">
        <v>267</v>
      </c>
      <c r="E239" t="s">
        <v>267</v>
      </c>
      <c r="F239" t="s">
        <v>267</v>
      </c>
      <c r="G239" t="s">
        <v>267</v>
      </c>
      <c r="H239" t="s">
        <v>267</v>
      </c>
      <c r="I239" t="s">
        <v>267</v>
      </c>
    </row>
    <row r="240" spans="1:9" x14ac:dyDescent="0.25">
      <c r="A240" s="10">
        <v>45621</v>
      </c>
      <c r="B240" t="s">
        <v>271</v>
      </c>
      <c r="C240" t="s">
        <v>260</v>
      </c>
      <c r="D240" t="s">
        <v>260</v>
      </c>
      <c r="E240" t="s">
        <v>275</v>
      </c>
      <c r="F240" t="s">
        <v>260</v>
      </c>
      <c r="G240" t="s">
        <v>271</v>
      </c>
      <c r="H240" t="s">
        <v>260</v>
      </c>
      <c r="I240" t="s">
        <v>275</v>
      </c>
    </row>
    <row r="241" spans="1:9" x14ac:dyDescent="0.25">
      <c r="A241" s="10">
        <v>45622</v>
      </c>
      <c r="B241" t="s">
        <v>275</v>
      </c>
      <c r="C241" t="s">
        <v>275</v>
      </c>
      <c r="D241" t="s">
        <v>260</v>
      </c>
      <c r="E241" t="s">
        <v>275</v>
      </c>
      <c r="F241" t="s">
        <v>275</v>
      </c>
      <c r="G241" t="s">
        <v>275</v>
      </c>
      <c r="H241" t="s">
        <v>260</v>
      </c>
      <c r="I241" t="s">
        <v>271</v>
      </c>
    </row>
    <row r="242" spans="1:9" x14ac:dyDescent="0.25">
      <c r="A242" s="10">
        <v>45623</v>
      </c>
      <c r="B242" t="s">
        <v>260</v>
      </c>
      <c r="C242" t="s">
        <v>275</v>
      </c>
      <c r="D242" t="s">
        <v>271</v>
      </c>
      <c r="E242" t="s">
        <v>275</v>
      </c>
      <c r="F242" t="s">
        <v>275</v>
      </c>
      <c r="G242" t="s">
        <v>275</v>
      </c>
      <c r="H242" t="s">
        <v>275</v>
      </c>
      <c r="I242" t="s">
        <v>275</v>
      </c>
    </row>
    <row r="243" spans="1:9" x14ac:dyDescent="0.25">
      <c r="A243" s="10">
        <v>45624</v>
      </c>
      <c r="B243" t="s">
        <v>275</v>
      </c>
      <c r="C243" t="s">
        <v>275</v>
      </c>
      <c r="D243" t="s">
        <v>271</v>
      </c>
      <c r="E243" t="s">
        <v>260</v>
      </c>
      <c r="F243" t="s">
        <v>275</v>
      </c>
      <c r="G243" t="s">
        <v>275</v>
      </c>
      <c r="H243" t="s">
        <v>275</v>
      </c>
      <c r="I243" t="s">
        <v>271</v>
      </c>
    </row>
    <row r="244" spans="1:9" x14ac:dyDescent="0.25">
      <c r="A244" s="10">
        <v>45625</v>
      </c>
      <c r="B244" t="s">
        <v>275</v>
      </c>
      <c r="C244" t="s">
        <v>271</v>
      </c>
      <c r="D244" t="s">
        <v>275</v>
      </c>
      <c r="E244" t="s">
        <v>275</v>
      </c>
      <c r="F244" t="s">
        <v>275</v>
      </c>
      <c r="G244" t="s">
        <v>271</v>
      </c>
      <c r="H244" t="s">
        <v>271</v>
      </c>
      <c r="I244" t="s">
        <v>275</v>
      </c>
    </row>
    <row r="245" spans="1:9" x14ac:dyDescent="0.25">
      <c r="A245" s="10">
        <v>45626</v>
      </c>
      <c r="B245" t="s">
        <v>275</v>
      </c>
      <c r="C245" t="s">
        <v>275</v>
      </c>
      <c r="D245" t="s">
        <v>271</v>
      </c>
      <c r="E245" t="s">
        <v>275</v>
      </c>
      <c r="F245" t="s">
        <v>275</v>
      </c>
      <c r="G245" t="s">
        <v>271</v>
      </c>
      <c r="H245" t="s">
        <v>275</v>
      </c>
      <c r="I245" t="s">
        <v>275</v>
      </c>
    </row>
    <row r="246" spans="1:9" x14ac:dyDescent="0.25">
      <c r="A246" s="10">
        <v>45627</v>
      </c>
      <c r="B246" t="s">
        <v>267</v>
      </c>
      <c r="C246" t="s">
        <v>267</v>
      </c>
      <c r="D246" t="s">
        <v>267</v>
      </c>
      <c r="E246" t="s">
        <v>267</v>
      </c>
      <c r="F246" t="s">
        <v>267</v>
      </c>
      <c r="G246" t="s">
        <v>267</v>
      </c>
      <c r="H246" t="s">
        <v>267</v>
      </c>
      <c r="I246" t="s">
        <v>267</v>
      </c>
    </row>
    <row r="247" spans="1:9" x14ac:dyDescent="0.25">
      <c r="A247" s="10">
        <v>45628</v>
      </c>
      <c r="B247" t="s">
        <v>275</v>
      </c>
      <c r="C247" t="s">
        <v>260</v>
      </c>
      <c r="D247" t="s">
        <v>260</v>
      </c>
      <c r="E247" t="s">
        <v>271</v>
      </c>
      <c r="F247" t="s">
        <v>275</v>
      </c>
      <c r="G247" t="s">
        <v>271</v>
      </c>
      <c r="H247" t="s">
        <v>275</v>
      </c>
      <c r="I247" t="s">
        <v>260</v>
      </c>
    </row>
    <row r="248" spans="1:9" x14ac:dyDescent="0.25">
      <c r="A248" s="10">
        <v>45629</v>
      </c>
      <c r="B248" t="s">
        <v>271</v>
      </c>
      <c r="C248" t="s">
        <v>271</v>
      </c>
      <c r="D248" t="s">
        <v>260</v>
      </c>
      <c r="E248" t="s">
        <v>271</v>
      </c>
      <c r="F248" t="s">
        <v>271</v>
      </c>
      <c r="G248" t="s">
        <v>271</v>
      </c>
      <c r="H248" t="s">
        <v>260</v>
      </c>
      <c r="I248" t="s">
        <v>271</v>
      </c>
    </row>
    <row r="249" spans="1:9" x14ac:dyDescent="0.25">
      <c r="A249" s="10">
        <v>45630</v>
      </c>
      <c r="B249" t="s">
        <v>275</v>
      </c>
      <c r="C249" t="s">
        <v>271</v>
      </c>
      <c r="D249" t="s">
        <v>275</v>
      </c>
      <c r="E249" t="s">
        <v>275</v>
      </c>
      <c r="F249" t="s">
        <v>275</v>
      </c>
      <c r="G249" t="s">
        <v>271</v>
      </c>
      <c r="H249" t="s">
        <v>275</v>
      </c>
      <c r="I249" t="s">
        <v>260</v>
      </c>
    </row>
    <row r="250" spans="1:9" x14ac:dyDescent="0.25">
      <c r="A250" s="10">
        <v>45631</v>
      </c>
      <c r="B250" t="s">
        <v>260</v>
      </c>
      <c r="C250" t="s">
        <v>260</v>
      </c>
      <c r="D250" t="s">
        <v>275</v>
      </c>
      <c r="E250" t="s">
        <v>275</v>
      </c>
      <c r="F250" t="s">
        <v>275</v>
      </c>
      <c r="G250" t="s">
        <v>275</v>
      </c>
      <c r="H250" t="s">
        <v>275</v>
      </c>
      <c r="I250" t="s">
        <v>275</v>
      </c>
    </row>
    <row r="251" spans="1:9" x14ac:dyDescent="0.25">
      <c r="A251" s="10">
        <v>45632</v>
      </c>
      <c r="B251" t="s">
        <v>260</v>
      </c>
      <c r="C251" t="s">
        <v>271</v>
      </c>
      <c r="D251" t="s">
        <v>271</v>
      </c>
      <c r="E251" t="s">
        <v>275</v>
      </c>
      <c r="F251" t="s">
        <v>260</v>
      </c>
      <c r="G251" t="s">
        <v>275</v>
      </c>
      <c r="H251" t="s">
        <v>275</v>
      </c>
      <c r="I251" t="s">
        <v>275</v>
      </c>
    </row>
    <row r="252" spans="1:9" x14ac:dyDescent="0.25">
      <c r="A252" s="10">
        <v>45633</v>
      </c>
      <c r="B252" t="s">
        <v>275</v>
      </c>
      <c r="C252" t="s">
        <v>275</v>
      </c>
      <c r="D252" t="s">
        <v>275</v>
      </c>
      <c r="E252" t="s">
        <v>275</v>
      </c>
      <c r="F252" t="s">
        <v>271</v>
      </c>
      <c r="G252" t="s">
        <v>275</v>
      </c>
      <c r="H252" t="s">
        <v>271</v>
      </c>
      <c r="I252" t="s">
        <v>275</v>
      </c>
    </row>
    <row r="253" spans="1:9" x14ac:dyDescent="0.25">
      <c r="A253" s="10">
        <v>45634</v>
      </c>
      <c r="B253" t="s">
        <v>267</v>
      </c>
      <c r="C253" t="s">
        <v>267</v>
      </c>
      <c r="D253" t="s">
        <v>267</v>
      </c>
      <c r="E253" t="s">
        <v>267</v>
      </c>
      <c r="F253" t="s">
        <v>267</v>
      </c>
      <c r="G253" t="s">
        <v>267</v>
      </c>
      <c r="H253" t="s">
        <v>267</v>
      </c>
      <c r="I253" t="s">
        <v>267</v>
      </c>
    </row>
    <row r="254" spans="1:9" x14ac:dyDescent="0.25">
      <c r="A254" s="10">
        <v>45635</v>
      </c>
      <c r="B254" t="s">
        <v>275</v>
      </c>
      <c r="C254" t="s">
        <v>275</v>
      </c>
      <c r="D254" t="s">
        <v>260</v>
      </c>
      <c r="E254" t="s">
        <v>275</v>
      </c>
      <c r="F254" t="s">
        <v>271</v>
      </c>
      <c r="G254" t="s">
        <v>275</v>
      </c>
      <c r="H254" t="s">
        <v>260</v>
      </c>
      <c r="I254" t="s">
        <v>275</v>
      </c>
    </row>
    <row r="255" spans="1:9" x14ac:dyDescent="0.25">
      <c r="A255" s="10">
        <v>45636</v>
      </c>
      <c r="B255" t="s">
        <v>271</v>
      </c>
      <c r="C255" t="s">
        <v>275</v>
      </c>
      <c r="D255" t="s">
        <v>275</v>
      </c>
      <c r="E255" t="s">
        <v>260</v>
      </c>
      <c r="F255" t="s">
        <v>260</v>
      </c>
      <c r="G255" t="s">
        <v>275</v>
      </c>
      <c r="H255" t="s">
        <v>275</v>
      </c>
      <c r="I255" t="s">
        <v>275</v>
      </c>
    </row>
    <row r="256" spans="1:9" x14ac:dyDescent="0.25">
      <c r="A256" s="10">
        <v>45637</v>
      </c>
      <c r="B256" t="s">
        <v>275</v>
      </c>
      <c r="C256" t="s">
        <v>275</v>
      </c>
      <c r="D256" t="s">
        <v>271</v>
      </c>
      <c r="E256" t="s">
        <v>275</v>
      </c>
      <c r="F256" t="s">
        <v>275</v>
      </c>
      <c r="G256" t="s">
        <v>260</v>
      </c>
      <c r="H256" t="s">
        <v>275</v>
      </c>
      <c r="I256" t="s">
        <v>271</v>
      </c>
    </row>
    <row r="257" spans="1:9" x14ac:dyDescent="0.25">
      <c r="A257" s="10">
        <v>45638</v>
      </c>
      <c r="B257" t="s">
        <v>275</v>
      </c>
      <c r="C257" t="s">
        <v>275</v>
      </c>
      <c r="D257" t="s">
        <v>271</v>
      </c>
      <c r="E257" t="s">
        <v>275</v>
      </c>
      <c r="F257" t="s">
        <v>260</v>
      </c>
      <c r="G257" t="s">
        <v>260</v>
      </c>
      <c r="H257" t="s">
        <v>275</v>
      </c>
      <c r="I257" t="s">
        <v>275</v>
      </c>
    </row>
    <row r="258" spans="1:9" x14ac:dyDescent="0.25">
      <c r="A258" s="10">
        <v>45639</v>
      </c>
      <c r="B258" t="s">
        <v>260</v>
      </c>
      <c r="C258" t="s">
        <v>275</v>
      </c>
      <c r="D258" t="s">
        <v>275</v>
      </c>
      <c r="E258" t="s">
        <v>275</v>
      </c>
      <c r="F258" t="s">
        <v>275</v>
      </c>
      <c r="G258" t="s">
        <v>260</v>
      </c>
      <c r="H258" t="s">
        <v>275</v>
      </c>
      <c r="I258" t="s">
        <v>260</v>
      </c>
    </row>
    <row r="259" spans="1:9" x14ac:dyDescent="0.25">
      <c r="A259" s="10">
        <v>45640</v>
      </c>
      <c r="B259" t="s">
        <v>271</v>
      </c>
      <c r="C259" t="s">
        <v>275</v>
      </c>
      <c r="D259" t="s">
        <v>275</v>
      </c>
      <c r="E259" t="s">
        <v>260</v>
      </c>
      <c r="F259" t="s">
        <v>275</v>
      </c>
      <c r="G259" t="s">
        <v>260</v>
      </c>
      <c r="H259" t="s">
        <v>275</v>
      </c>
      <c r="I259" t="s">
        <v>260</v>
      </c>
    </row>
    <row r="260" spans="1:9" x14ac:dyDescent="0.25">
      <c r="A260" s="10">
        <v>45641</v>
      </c>
      <c r="B260" t="s">
        <v>267</v>
      </c>
      <c r="C260" t="s">
        <v>267</v>
      </c>
      <c r="D260" t="s">
        <v>267</v>
      </c>
      <c r="E260" t="s">
        <v>267</v>
      </c>
      <c r="F260" t="s">
        <v>267</v>
      </c>
      <c r="G260" t="s">
        <v>267</v>
      </c>
      <c r="H260" t="s">
        <v>267</v>
      </c>
      <c r="I260" t="s">
        <v>267</v>
      </c>
    </row>
    <row r="261" spans="1:9" x14ac:dyDescent="0.25">
      <c r="A261" s="10">
        <v>45642</v>
      </c>
      <c r="B261" t="s">
        <v>271</v>
      </c>
      <c r="C261" t="s">
        <v>275</v>
      </c>
      <c r="D261" t="s">
        <v>260</v>
      </c>
      <c r="E261" t="s">
        <v>271</v>
      </c>
      <c r="F261" t="s">
        <v>275</v>
      </c>
      <c r="G261" t="s">
        <v>275</v>
      </c>
      <c r="H261" t="s">
        <v>275</v>
      </c>
      <c r="I261" t="s">
        <v>260</v>
      </c>
    </row>
    <row r="262" spans="1:9" x14ac:dyDescent="0.25">
      <c r="A262" s="10">
        <v>45643</v>
      </c>
      <c r="B262" t="s">
        <v>275</v>
      </c>
      <c r="C262" t="s">
        <v>260</v>
      </c>
      <c r="D262" t="s">
        <v>260</v>
      </c>
      <c r="E262" t="s">
        <v>275</v>
      </c>
      <c r="F262" t="s">
        <v>275</v>
      </c>
      <c r="G262" t="s">
        <v>260</v>
      </c>
      <c r="H262" t="s">
        <v>275</v>
      </c>
      <c r="I262" t="s">
        <v>275</v>
      </c>
    </row>
    <row r="263" spans="1:9" x14ac:dyDescent="0.25">
      <c r="A263" s="10">
        <v>45644</v>
      </c>
      <c r="B263" t="s">
        <v>271</v>
      </c>
      <c r="C263" t="s">
        <v>260</v>
      </c>
      <c r="D263" t="s">
        <v>275</v>
      </c>
      <c r="E263" t="s">
        <v>275</v>
      </c>
      <c r="F263" t="s">
        <v>260</v>
      </c>
      <c r="G263" t="s">
        <v>271</v>
      </c>
      <c r="H263" t="s">
        <v>275</v>
      </c>
      <c r="I263" t="s">
        <v>260</v>
      </c>
    </row>
    <row r="264" spans="1:9" x14ac:dyDescent="0.25">
      <c r="A264" s="10">
        <v>45645</v>
      </c>
      <c r="B264" t="s">
        <v>275</v>
      </c>
      <c r="C264" t="s">
        <v>271</v>
      </c>
      <c r="D264" t="s">
        <v>275</v>
      </c>
      <c r="E264" t="s">
        <v>275</v>
      </c>
      <c r="F264" t="s">
        <v>275</v>
      </c>
      <c r="G264" t="s">
        <v>260</v>
      </c>
      <c r="H264" t="s">
        <v>275</v>
      </c>
      <c r="I264" t="s">
        <v>260</v>
      </c>
    </row>
    <row r="265" spans="1:9" x14ac:dyDescent="0.25">
      <c r="A265" s="10">
        <v>45646</v>
      </c>
      <c r="B265" t="s">
        <v>275</v>
      </c>
      <c r="C265" t="s">
        <v>275</v>
      </c>
      <c r="D265" t="s">
        <v>260</v>
      </c>
      <c r="E265" t="s">
        <v>275</v>
      </c>
      <c r="F265" t="s">
        <v>275</v>
      </c>
      <c r="G265" t="s">
        <v>260</v>
      </c>
      <c r="H265" t="s">
        <v>275</v>
      </c>
      <c r="I265" t="s">
        <v>275</v>
      </c>
    </row>
    <row r="266" spans="1:9" x14ac:dyDescent="0.25">
      <c r="A266" s="10">
        <v>45647</v>
      </c>
      <c r="B266" t="s">
        <v>275</v>
      </c>
      <c r="C266" t="s">
        <v>260</v>
      </c>
      <c r="D266" t="s">
        <v>275</v>
      </c>
      <c r="E266" t="s">
        <v>275</v>
      </c>
      <c r="F266" t="s">
        <v>275</v>
      </c>
      <c r="G266" t="s">
        <v>275</v>
      </c>
      <c r="H266" t="s">
        <v>275</v>
      </c>
      <c r="I266" t="s">
        <v>275</v>
      </c>
    </row>
    <row r="267" spans="1:9" x14ac:dyDescent="0.25">
      <c r="A267" s="10">
        <v>45648</v>
      </c>
      <c r="B267" t="s">
        <v>267</v>
      </c>
      <c r="C267" t="s">
        <v>267</v>
      </c>
      <c r="D267" t="s">
        <v>267</v>
      </c>
      <c r="E267" t="s">
        <v>267</v>
      </c>
      <c r="F267" t="s">
        <v>267</v>
      </c>
      <c r="G267" t="s">
        <v>267</v>
      </c>
      <c r="H267" t="s">
        <v>267</v>
      </c>
      <c r="I267" t="s">
        <v>267</v>
      </c>
    </row>
    <row r="268" spans="1:9" x14ac:dyDescent="0.25">
      <c r="A268" s="10">
        <v>45649</v>
      </c>
      <c r="B268" t="s">
        <v>271</v>
      </c>
      <c r="C268" t="s">
        <v>271</v>
      </c>
      <c r="D268" t="s">
        <v>275</v>
      </c>
      <c r="E268" t="s">
        <v>275</v>
      </c>
      <c r="F268" t="s">
        <v>275</v>
      </c>
      <c r="G268" t="s">
        <v>271</v>
      </c>
      <c r="H268" t="s">
        <v>275</v>
      </c>
      <c r="I268" t="s">
        <v>275</v>
      </c>
    </row>
    <row r="269" spans="1:9" x14ac:dyDescent="0.25">
      <c r="A269" s="10">
        <v>45650</v>
      </c>
      <c r="B269" t="s">
        <v>271</v>
      </c>
      <c r="C269" t="s">
        <v>271</v>
      </c>
      <c r="D269" t="s">
        <v>271</v>
      </c>
      <c r="E269" t="s">
        <v>275</v>
      </c>
      <c r="F269" t="s">
        <v>275</v>
      </c>
      <c r="G269" t="s">
        <v>275</v>
      </c>
      <c r="H269" t="s">
        <v>275</v>
      </c>
      <c r="I269" t="s">
        <v>275</v>
      </c>
    </row>
    <row r="270" spans="1:9" x14ac:dyDescent="0.25">
      <c r="A270" s="10">
        <v>45651</v>
      </c>
      <c r="B270" t="s">
        <v>275</v>
      </c>
      <c r="C270" t="s">
        <v>271</v>
      </c>
      <c r="D270" t="s">
        <v>275</v>
      </c>
      <c r="E270" t="s">
        <v>275</v>
      </c>
      <c r="F270" t="s">
        <v>275</v>
      </c>
      <c r="G270" t="s">
        <v>275</v>
      </c>
      <c r="H270" t="s">
        <v>260</v>
      </c>
      <c r="I270" t="s">
        <v>260</v>
      </c>
    </row>
    <row r="271" spans="1:9" x14ac:dyDescent="0.25">
      <c r="A271" s="10">
        <v>45652</v>
      </c>
      <c r="B271" t="s">
        <v>275</v>
      </c>
      <c r="C271" t="s">
        <v>271</v>
      </c>
      <c r="D271" t="s">
        <v>260</v>
      </c>
      <c r="E271" t="s">
        <v>275</v>
      </c>
      <c r="F271" t="s">
        <v>275</v>
      </c>
      <c r="G271" t="s">
        <v>275</v>
      </c>
      <c r="H271" t="s">
        <v>271</v>
      </c>
      <c r="I271" t="s">
        <v>275</v>
      </c>
    </row>
    <row r="272" spans="1:9" x14ac:dyDescent="0.25">
      <c r="A272" s="10">
        <v>45653</v>
      </c>
      <c r="B272" t="s">
        <v>271</v>
      </c>
      <c r="C272" t="s">
        <v>275</v>
      </c>
      <c r="D272" t="s">
        <v>275</v>
      </c>
      <c r="E272" t="s">
        <v>260</v>
      </c>
      <c r="F272" t="s">
        <v>275</v>
      </c>
      <c r="G272" t="s">
        <v>271</v>
      </c>
      <c r="H272" t="s">
        <v>271</v>
      </c>
      <c r="I272" t="s">
        <v>271</v>
      </c>
    </row>
    <row r="273" spans="1:9" x14ac:dyDescent="0.25">
      <c r="A273" s="10">
        <v>45654</v>
      </c>
      <c r="B273" t="s">
        <v>275</v>
      </c>
      <c r="C273" t="s">
        <v>271</v>
      </c>
      <c r="D273" t="s">
        <v>275</v>
      </c>
      <c r="E273" t="s">
        <v>275</v>
      </c>
      <c r="F273" t="s">
        <v>271</v>
      </c>
      <c r="G273" t="s">
        <v>260</v>
      </c>
      <c r="H273" t="s">
        <v>275</v>
      </c>
      <c r="I273" t="s">
        <v>271</v>
      </c>
    </row>
    <row r="274" spans="1:9" x14ac:dyDescent="0.25">
      <c r="A274" s="10">
        <v>45655</v>
      </c>
      <c r="B274" t="s">
        <v>267</v>
      </c>
      <c r="C274" t="s">
        <v>267</v>
      </c>
      <c r="D274" t="s">
        <v>267</v>
      </c>
      <c r="E274" t="s">
        <v>267</v>
      </c>
      <c r="F274" t="s">
        <v>267</v>
      </c>
      <c r="G274" t="s">
        <v>267</v>
      </c>
      <c r="H274" t="s">
        <v>267</v>
      </c>
      <c r="I274" t="s">
        <v>267</v>
      </c>
    </row>
    <row r="275" spans="1:9" x14ac:dyDescent="0.25">
      <c r="A275" s="10">
        <v>45656</v>
      </c>
      <c r="B275" t="s">
        <v>260</v>
      </c>
      <c r="C275" t="s">
        <v>260</v>
      </c>
      <c r="D275" t="s">
        <v>260</v>
      </c>
      <c r="E275" t="s">
        <v>275</v>
      </c>
      <c r="F275" t="s">
        <v>275</v>
      </c>
      <c r="G275" t="s">
        <v>275</v>
      </c>
      <c r="H275" t="s">
        <v>275</v>
      </c>
      <c r="I275" t="s">
        <v>260</v>
      </c>
    </row>
    <row r="276" spans="1:9" x14ac:dyDescent="0.25">
      <c r="A276" s="10">
        <v>45657</v>
      </c>
      <c r="B276" t="s">
        <v>275</v>
      </c>
      <c r="C276" t="s">
        <v>275</v>
      </c>
      <c r="D276" t="s">
        <v>271</v>
      </c>
      <c r="E276" t="s">
        <v>275</v>
      </c>
      <c r="F276" t="s">
        <v>275</v>
      </c>
      <c r="G276" t="s">
        <v>275</v>
      </c>
      <c r="H276" t="s">
        <v>260</v>
      </c>
      <c r="I276" t="s">
        <v>260</v>
      </c>
    </row>
    <row r="277" spans="1:9" x14ac:dyDescent="0.25">
      <c r="A277" s="10">
        <v>45658</v>
      </c>
      <c r="B277" t="s">
        <v>271</v>
      </c>
      <c r="C277" t="s">
        <v>275</v>
      </c>
      <c r="D277" t="s">
        <v>275</v>
      </c>
      <c r="E277" t="s">
        <v>275</v>
      </c>
      <c r="F277" t="s">
        <v>275</v>
      </c>
      <c r="G277" t="s">
        <v>260</v>
      </c>
      <c r="H277" t="s">
        <v>275</v>
      </c>
      <c r="I277" t="s">
        <v>275</v>
      </c>
    </row>
    <row r="278" spans="1:9" x14ac:dyDescent="0.25">
      <c r="A278" s="10">
        <v>45659</v>
      </c>
      <c r="B278" t="s">
        <v>275</v>
      </c>
      <c r="C278" t="s">
        <v>275</v>
      </c>
      <c r="D278" t="s">
        <v>271</v>
      </c>
      <c r="E278" t="s">
        <v>275</v>
      </c>
      <c r="F278" t="s">
        <v>275</v>
      </c>
      <c r="G278" t="s">
        <v>275</v>
      </c>
      <c r="H278" t="s">
        <v>271</v>
      </c>
      <c r="I278" t="s">
        <v>275</v>
      </c>
    </row>
    <row r="279" spans="1:9" x14ac:dyDescent="0.25">
      <c r="A279" s="10">
        <v>45660</v>
      </c>
      <c r="B279" t="s">
        <v>275</v>
      </c>
      <c r="C279" t="s">
        <v>271</v>
      </c>
      <c r="D279" t="s">
        <v>275</v>
      </c>
      <c r="E279" t="s">
        <v>275</v>
      </c>
      <c r="F279" t="s">
        <v>260</v>
      </c>
      <c r="G279" t="s">
        <v>275</v>
      </c>
      <c r="H279" t="s">
        <v>260</v>
      </c>
      <c r="I279" t="s">
        <v>271</v>
      </c>
    </row>
    <row r="280" spans="1:9" x14ac:dyDescent="0.25">
      <c r="A280" s="10">
        <v>45661</v>
      </c>
      <c r="B280" t="s">
        <v>275</v>
      </c>
      <c r="C280" t="s">
        <v>275</v>
      </c>
      <c r="D280" t="s">
        <v>275</v>
      </c>
      <c r="E280" t="s">
        <v>271</v>
      </c>
      <c r="F280" t="s">
        <v>275</v>
      </c>
      <c r="G280" t="s">
        <v>275</v>
      </c>
      <c r="H280" t="s">
        <v>271</v>
      </c>
      <c r="I280" t="s">
        <v>271</v>
      </c>
    </row>
    <row r="281" spans="1:9" x14ac:dyDescent="0.25">
      <c r="A281" s="10">
        <v>45662</v>
      </c>
      <c r="B281" t="s">
        <v>267</v>
      </c>
      <c r="C281" t="s">
        <v>267</v>
      </c>
      <c r="D281" t="s">
        <v>267</v>
      </c>
      <c r="E281" t="s">
        <v>267</v>
      </c>
      <c r="F281" t="s">
        <v>267</v>
      </c>
      <c r="G281" t="s">
        <v>267</v>
      </c>
      <c r="H281" t="s">
        <v>267</v>
      </c>
      <c r="I281" t="s">
        <v>267</v>
      </c>
    </row>
    <row r="282" spans="1:9" x14ac:dyDescent="0.25">
      <c r="A282" s="10">
        <v>45663</v>
      </c>
      <c r="B282" t="s">
        <v>275</v>
      </c>
      <c r="C282" t="s">
        <v>260</v>
      </c>
      <c r="D282" t="s">
        <v>260</v>
      </c>
      <c r="E282" t="s">
        <v>260</v>
      </c>
      <c r="F282" t="s">
        <v>271</v>
      </c>
      <c r="G282" t="s">
        <v>271</v>
      </c>
      <c r="H282" t="s">
        <v>271</v>
      </c>
      <c r="I282" t="s">
        <v>275</v>
      </c>
    </row>
    <row r="283" spans="1:9" x14ac:dyDescent="0.25">
      <c r="A283" s="10">
        <v>45664</v>
      </c>
      <c r="B283" t="s">
        <v>275</v>
      </c>
      <c r="C283" t="s">
        <v>275</v>
      </c>
      <c r="D283" t="s">
        <v>275</v>
      </c>
      <c r="E283" t="s">
        <v>260</v>
      </c>
      <c r="F283" t="s">
        <v>275</v>
      </c>
      <c r="G283" t="s">
        <v>275</v>
      </c>
      <c r="H283" t="s">
        <v>275</v>
      </c>
      <c r="I283" t="s">
        <v>275</v>
      </c>
    </row>
    <row r="284" spans="1:9" x14ac:dyDescent="0.25">
      <c r="A284" s="10">
        <v>45665</v>
      </c>
      <c r="B284" t="s">
        <v>260</v>
      </c>
      <c r="C284" t="s">
        <v>260</v>
      </c>
      <c r="D284" t="s">
        <v>275</v>
      </c>
      <c r="E284" t="s">
        <v>271</v>
      </c>
      <c r="F284" t="s">
        <v>271</v>
      </c>
      <c r="G284" t="s">
        <v>275</v>
      </c>
      <c r="H284" t="s">
        <v>275</v>
      </c>
      <c r="I284" t="s">
        <v>275</v>
      </c>
    </row>
    <row r="285" spans="1:9" x14ac:dyDescent="0.25">
      <c r="A285" s="10">
        <v>45666</v>
      </c>
      <c r="B285" t="s">
        <v>260</v>
      </c>
      <c r="C285" t="s">
        <v>275</v>
      </c>
      <c r="D285" t="s">
        <v>275</v>
      </c>
      <c r="E285" t="s">
        <v>271</v>
      </c>
      <c r="F285" t="s">
        <v>275</v>
      </c>
      <c r="G285" t="s">
        <v>275</v>
      </c>
      <c r="H285" t="s">
        <v>275</v>
      </c>
      <c r="I285" t="s">
        <v>275</v>
      </c>
    </row>
    <row r="286" spans="1:9" x14ac:dyDescent="0.25">
      <c r="A286" s="10">
        <v>45667</v>
      </c>
      <c r="B286" t="s">
        <v>271</v>
      </c>
      <c r="C286" t="s">
        <v>275</v>
      </c>
      <c r="D286" t="s">
        <v>271</v>
      </c>
      <c r="E286" t="s">
        <v>275</v>
      </c>
      <c r="F286" t="s">
        <v>275</v>
      </c>
      <c r="G286" t="s">
        <v>275</v>
      </c>
      <c r="H286" t="s">
        <v>275</v>
      </c>
      <c r="I286" t="s">
        <v>260</v>
      </c>
    </row>
    <row r="287" spans="1:9" x14ac:dyDescent="0.25">
      <c r="A287" s="10">
        <v>45668</v>
      </c>
      <c r="B287" t="s">
        <v>275</v>
      </c>
      <c r="C287" t="s">
        <v>271</v>
      </c>
      <c r="D287" t="s">
        <v>275</v>
      </c>
      <c r="E287" t="s">
        <v>275</v>
      </c>
      <c r="F287" t="s">
        <v>275</v>
      </c>
      <c r="G287" t="s">
        <v>260</v>
      </c>
      <c r="H287" t="s">
        <v>275</v>
      </c>
      <c r="I287" t="s">
        <v>275</v>
      </c>
    </row>
    <row r="288" spans="1:9" x14ac:dyDescent="0.25">
      <c r="A288" s="10">
        <v>45669</v>
      </c>
      <c r="B288" t="s">
        <v>267</v>
      </c>
      <c r="C288" t="s">
        <v>267</v>
      </c>
      <c r="D288" t="s">
        <v>267</v>
      </c>
      <c r="E288" t="s">
        <v>267</v>
      </c>
      <c r="F288" t="s">
        <v>267</v>
      </c>
      <c r="G288" t="s">
        <v>267</v>
      </c>
      <c r="H288" t="s">
        <v>267</v>
      </c>
      <c r="I288" t="s">
        <v>267</v>
      </c>
    </row>
    <row r="289" spans="1:9" x14ac:dyDescent="0.25">
      <c r="A289" s="10">
        <v>45670</v>
      </c>
      <c r="B289" t="s">
        <v>271</v>
      </c>
      <c r="C289" t="s">
        <v>275</v>
      </c>
      <c r="D289" t="s">
        <v>275</v>
      </c>
      <c r="E289" t="s">
        <v>271</v>
      </c>
      <c r="F289" t="s">
        <v>271</v>
      </c>
      <c r="G289" t="s">
        <v>271</v>
      </c>
      <c r="H289" t="s">
        <v>271</v>
      </c>
      <c r="I289" t="s">
        <v>275</v>
      </c>
    </row>
    <row r="290" spans="1:9" x14ac:dyDescent="0.25">
      <c r="A290" s="10">
        <v>45671</v>
      </c>
      <c r="B290" t="s">
        <v>260</v>
      </c>
      <c r="C290" t="s">
        <v>275</v>
      </c>
      <c r="D290" t="s">
        <v>260</v>
      </c>
      <c r="E290" t="s">
        <v>271</v>
      </c>
      <c r="F290" t="s">
        <v>271</v>
      </c>
      <c r="G290" t="s">
        <v>275</v>
      </c>
      <c r="H290" t="s">
        <v>275</v>
      </c>
      <c r="I290" t="s">
        <v>275</v>
      </c>
    </row>
    <row r="291" spans="1:9" x14ac:dyDescent="0.25">
      <c r="A291" s="10">
        <v>45672</v>
      </c>
      <c r="B291" t="s">
        <v>271</v>
      </c>
      <c r="C291" t="s">
        <v>260</v>
      </c>
      <c r="D291" t="s">
        <v>275</v>
      </c>
      <c r="E291" t="s">
        <v>260</v>
      </c>
      <c r="F291" t="s">
        <v>275</v>
      </c>
      <c r="G291" t="s">
        <v>271</v>
      </c>
      <c r="H291" t="s">
        <v>271</v>
      </c>
      <c r="I291" t="s">
        <v>275</v>
      </c>
    </row>
    <row r="292" spans="1:9" x14ac:dyDescent="0.25">
      <c r="A292" s="10">
        <v>45673</v>
      </c>
      <c r="B292" t="s">
        <v>260</v>
      </c>
      <c r="C292" t="s">
        <v>271</v>
      </c>
      <c r="D292" t="s">
        <v>260</v>
      </c>
      <c r="E292" t="s">
        <v>260</v>
      </c>
      <c r="F292" t="s">
        <v>275</v>
      </c>
      <c r="G292" t="s">
        <v>275</v>
      </c>
      <c r="H292" t="s">
        <v>275</v>
      </c>
      <c r="I292" t="s">
        <v>275</v>
      </c>
    </row>
    <row r="293" spans="1:9" x14ac:dyDescent="0.25">
      <c r="A293" s="10">
        <v>45674</v>
      </c>
      <c r="B293" t="s">
        <v>260</v>
      </c>
      <c r="C293" t="s">
        <v>260</v>
      </c>
      <c r="D293" t="s">
        <v>271</v>
      </c>
      <c r="E293" t="s">
        <v>271</v>
      </c>
      <c r="F293" t="s">
        <v>275</v>
      </c>
      <c r="G293" t="s">
        <v>275</v>
      </c>
      <c r="H293" t="s">
        <v>260</v>
      </c>
      <c r="I293" t="s">
        <v>275</v>
      </c>
    </row>
    <row r="294" spans="1:9" x14ac:dyDescent="0.25">
      <c r="A294" s="10">
        <v>45675</v>
      </c>
      <c r="B294" t="s">
        <v>275</v>
      </c>
      <c r="C294" t="s">
        <v>271</v>
      </c>
      <c r="D294" t="s">
        <v>260</v>
      </c>
      <c r="E294" t="s">
        <v>271</v>
      </c>
      <c r="F294" t="s">
        <v>260</v>
      </c>
      <c r="G294" t="s">
        <v>275</v>
      </c>
      <c r="H294" t="s">
        <v>260</v>
      </c>
      <c r="I294" t="s">
        <v>260</v>
      </c>
    </row>
    <row r="295" spans="1:9" x14ac:dyDescent="0.25">
      <c r="A295" s="10">
        <v>45676</v>
      </c>
      <c r="B295" t="s">
        <v>267</v>
      </c>
      <c r="C295" t="s">
        <v>267</v>
      </c>
      <c r="D295" t="s">
        <v>267</v>
      </c>
      <c r="E295" t="s">
        <v>267</v>
      </c>
      <c r="F295" t="s">
        <v>267</v>
      </c>
      <c r="G295" t="s">
        <v>267</v>
      </c>
      <c r="H295" t="s">
        <v>267</v>
      </c>
      <c r="I295" t="s">
        <v>267</v>
      </c>
    </row>
    <row r="296" spans="1:9" x14ac:dyDescent="0.25">
      <c r="A296" s="10">
        <v>45677</v>
      </c>
      <c r="B296" t="s">
        <v>275</v>
      </c>
      <c r="C296" t="s">
        <v>275</v>
      </c>
      <c r="D296" t="s">
        <v>275</v>
      </c>
      <c r="E296" t="s">
        <v>275</v>
      </c>
      <c r="F296" t="s">
        <v>271</v>
      </c>
      <c r="G296" t="s">
        <v>275</v>
      </c>
      <c r="H296" t="s">
        <v>260</v>
      </c>
      <c r="I296" t="s">
        <v>275</v>
      </c>
    </row>
    <row r="297" spans="1:9" x14ac:dyDescent="0.25">
      <c r="A297" s="10">
        <v>45678</v>
      </c>
      <c r="B297" t="s">
        <v>275</v>
      </c>
      <c r="C297" t="s">
        <v>275</v>
      </c>
      <c r="D297" t="s">
        <v>271</v>
      </c>
      <c r="E297" t="s">
        <v>260</v>
      </c>
      <c r="F297" t="s">
        <v>275</v>
      </c>
      <c r="G297" t="s">
        <v>275</v>
      </c>
      <c r="H297" t="s">
        <v>260</v>
      </c>
      <c r="I297" t="s">
        <v>275</v>
      </c>
    </row>
    <row r="298" spans="1:9" x14ac:dyDescent="0.25">
      <c r="A298" s="10">
        <v>45679</v>
      </c>
      <c r="B298" t="s">
        <v>275</v>
      </c>
      <c r="C298" t="s">
        <v>275</v>
      </c>
      <c r="D298" t="s">
        <v>260</v>
      </c>
      <c r="E298" t="s">
        <v>275</v>
      </c>
      <c r="F298" t="s">
        <v>275</v>
      </c>
      <c r="G298" t="s">
        <v>275</v>
      </c>
      <c r="H298" t="s">
        <v>275</v>
      </c>
      <c r="I298" t="s">
        <v>275</v>
      </c>
    </row>
    <row r="299" spans="1:9" x14ac:dyDescent="0.25">
      <c r="A299" s="10">
        <v>45680</v>
      </c>
      <c r="B299" t="s">
        <v>260</v>
      </c>
      <c r="C299" t="s">
        <v>271</v>
      </c>
      <c r="D299" t="s">
        <v>275</v>
      </c>
      <c r="E299" t="s">
        <v>260</v>
      </c>
      <c r="F299" t="s">
        <v>275</v>
      </c>
      <c r="G299" t="s">
        <v>271</v>
      </c>
      <c r="H299" t="s">
        <v>275</v>
      </c>
      <c r="I299" t="s">
        <v>275</v>
      </c>
    </row>
    <row r="300" spans="1:9" x14ac:dyDescent="0.25">
      <c r="A300" s="10">
        <v>45681</v>
      </c>
      <c r="B300" t="s">
        <v>275</v>
      </c>
      <c r="C300" t="s">
        <v>275</v>
      </c>
      <c r="D300" t="s">
        <v>271</v>
      </c>
      <c r="E300" t="s">
        <v>275</v>
      </c>
      <c r="F300" t="s">
        <v>260</v>
      </c>
      <c r="G300" t="s">
        <v>275</v>
      </c>
      <c r="H300" t="s">
        <v>260</v>
      </c>
      <c r="I300" t="s">
        <v>275</v>
      </c>
    </row>
    <row r="301" spans="1:9" x14ac:dyDescent="0.25">
      <c r="A301" s="10">
        <v>45682</v>
      </c>
      <c r="B301" t="s">
        <v>275</v>
      </c>
      <c r="C301" t="s">
        <v>260</v>
      </c>
      <c r="D301" t="s">
        <v>275</v>
      </c>
      <c r="E301" t="s">
        <v>275</v>
      </c>
      <c r="F301" t="s">
        <v>275</v>
      </c>
      <c r="G301" t="s">
        <v>275</v>
      </c>
      <c r="H301" t="s">
        <v>275</v>
      </c>
      <c r="I301" t="s">
        <v>275</v>
      </c>
    </row>
    <row r="302" spans="1:9" x14ac:dyDescent="0.25">
      <c r="A302" s="10">
        <v>45683</v>
      </c>
      <c r="B302" t="s">
        <v>267</v>
      </c>
      <c r="C302" t="s">
        <v>267</v>
      </c>
      <c r="D302" t="s">
        <v>267</v>
      </c>
      <c r="E302" t="s">
        <v>267</v>
      </c>
      <c r="F302" t="s">
        <v>267</v>
      </c>
      <c r="G302" t="s">
        <v>267</v>
      </c>
      <c r="H302" t="s">
        <v>267</v>
      </c>
      <c r="I302" t="s">
        <v>267</v>
      </c>
    </row>
    <row r="303" spans="1:9" x14ac:dyDescent="0.25">
      <c r="A303" s="10">
        <v>45684</v>
      </c>
      <c r="B303" t="s">
        <v>260</v>
      </c>
      <c r="C303" t="s">
        <v>260</v>
      </c>
      <c r="D303" t="s">
        <v>275</v>
      </c>
      <c r="E303" t="s">
        <v>275</v>
      </c>
      <c r="F303" t="s">
        <v>275</v>
      </c>
      <c r="G303" t="s">
        <v>275</v>
      </c>
      <c r="H303" t="s">
        <v>271</v>
      </c>
      <c r="I303" t="s">
        <v>275</v>
      </c>
    </row>
    <row r="304" spans="1:9" x14ac:dyDescent="0.25">
      <c r="A304" s="10">
        <v>45685</v>
      </c>
      <c r="B304" t="s">
        <v>260</v>
      </c>
      <c r="C304" t="s">
        <v>275</v>
      </c>
      <c r="D304" t="s">
        <v>275</v>
      </c>
      <c r="E304" t="s">
        <v>275</v>
      </c>
      <c r="F304" t="s">
        <v>275</v>
      </c>
      <c r="G304" t="s">
        <v>275</v>
      </c>
      <c r="H304" t="s">
        <v>275</v>
      </c>
      <c r="I304" t="s">
        <v>271</v>
      </c>
    </row>
    <row r="305" spans="1:9" x14ac:dyDescent="0.25">
      <c r="A305" s="10">
        <v>45686</v>
      </c>
      <c r="B305" t="s">
        <v>275</v>
      </c>
      <c r="C305" t="s">
        <v>275</v>
      </c>
      <c r="D305" t="s">
        <v>275</v>
      </c>
      <c r="E305" t="s">
        <v>271</v>
      </c>
      <c r="F305" t="s">
        <v>275</v>
      </c>
      <c r="G305" t="s">
        <v>275</v>
      </c>
      <c r="H305" t="s">
        <v>275</v>
      </c>
      <c r="I305" t="s">
        <v>260</v>
      </c>
    </row>
    <row r="306" spans="1:9" x14ac:dyDescent="0.25">
      <c r="A306" s="10">
        <v>45687</v>
      </c>
      <c r="B306" t="s">
        <v>271</v>
      </c>
      <c r="C306" t="s">
        <v>271</v>
      </c>
      <c r="D306" t="s">
        <v>271</v>
      </c>
      <c r="E306" t="s">
        <v>275</v>
      </c>
      <c r="F306" t="s">
        <v>271</v>
      </c>
      <c r="G306" t="s">
        <v>260</v>
      </c>
      <c r="H306" t="s">
        <v>260</v>
      </c>
      <c r="I306" t="s">
        <v>275</v>
      </c>
    </row>
    <row r="307" spans="1:9" x14ac:dyDescent="0.25">
      <c r="A307" s="10">
        <v>45688</v>
      </c>
      <c r="B307" t="s">
        <v>275</v>
      </c>
      <c r="C307" t="s">
        <v>275</v>
      </c>
      <c r="D307" t="s">
        <v>275</v>
      </c>
      <c r="E307" t="s">
        <v>275</v>
      </c>
      <c r="F307" t="s">
        <v>260</v>
      </c>
      <c r="G307" t="s">
        <v>275</v>
      </c>
      <c r="H307" t="s">
        <v>260</v>
      </c>
      <c r="I307" t="s">
        <v>260</v>
      </c>
    </row>
    <row r="308" spans="1:9" x14ac:dyDescent="0.25">
      <c r="A308" s="10">
        <v>45689</v>
      </c>
      <c r="B308" t="s">
        <v>260</v>
      </c>
      <c r="C308" t="s">
        <v>275</v>
      </c>
      <c r="D308" t="s">
        <v>260</v>
      </c>
      <c r="E308" t="s">
        <v>275</v>
      </c>
      <c r="F308" t="s">
        <v>275</v>
      </c>
      <c r="G308" t="s">
        <v>260</v>
      </c>
      <c r="H308" t="s">
        <v>260</v>
      </c>
      <c r="I308" t="s">
        <v>275</v>
      </c>
    </row>
    <row r="309" spans="1:9" x14ac:dyDescent="0.25">
      <c r="A309" s="10">
        <v>45690</v>
      </c>
      <c r="B309" t="s">
        <v>267</v>
      </c>
      <c r="C309" t="s">
        <v>267</v>
      </c>
      <c r="D309" t="s">
        <v>267</v>
      </c>
      <c r="E309" t="s">
        <v>267</v>
      </c>
      <c r="F309" t="s">
        <v>267</v>
      </c>
      <c r="G309" t="s">
        <v>267</v>
      </c>
      <c r="H309" t="s">
        <v>267</v>
      </c>
      <c r="I309" t="s">
        <v>267</v>
      </c>
    </row>
    <row r="310" spans="1:9" x14ac:dyDescent="0.25">
      <c r="A310" s="10">
        <v>45691</v>
      </c>
      <c r="B310" t="s">
        <v>275</v>
      </c>
      <c r="C310" t="s">
        <v>275</v>
      </c>
      <c r="D310" t="s">
        <v>271</v>
      </c>
      <c r="E310" t="s">
        <v>271</v>
      </c>
      <c r="F310" t="s">
        <v>275</v>
      </c>
      <c r="G310" t="s">
        <v>260</v>
      </c>
      <c r="H310" t="s">
        <v>275</v>
      </c>
      <c r="I310" t="s">
        <v>275</v>
      </c>
    </row>
    <row r="311" spans="1:9" x14ac:dyDescent="0.25">
      <c r="A311" s="10">
        <v>45692</v>
      </c>
      <c r="B311" t="s">
        <v>271</v>
      </c>
      <c r="C311" t="s">
        <v>275</v>
      </c>
      <c r="D311" t="s">
        <v>275</v>
      </c>
      <c r="E311" t="s">
        <v>275</v>
      </c>
      <c r="F311" t="s">
        <v>260</v>
      </c>
      <c r="G311" t="s">
        <v>275</v>
      </c>
      <c r="H311" t="s">
        <v>271</v>
      </c>
      <c r="I311" t="s">
        <v>275</v>
      </c>
    </row>
    <row r="312" spans="1:9" x14ac:dyDescent="0.25">
      <c r="A312" s="10">
        <v>45693</v>
      </c>
      <c r="B312" t="s">
        <v>271</v>
      </c>
      <c r="C312" t="s">
        <v>275</v>
      </c>
      <c r="D312" t="s">
        <v>275</v>
      </c>
      <c r="E312" t="s">
        <v>275</v>
      </c>
      <c r="F312" t="s">
        <v>271</v>
      </c>
      <c r="G312" t="s">
        <v>260</v>
      </c>
      <c r="H312" t="s">
        <v>260</v>
      </c>
      <c r="I312" t="s">
        <v>260</v>
      </c>
    </row>
    <row r="313" spans="1:9" x14ac:dyDescent="0.25">
      <c r="A313" s="10">
        <v>45694</v>
      </c>
      <c r="B313" t="s">
        <v>275</v>
      </c>
      <c r="C313" t="s">
        <v>275</v>
      </c>
      <c r="D313" t="s">
        <v>275</v>
      </c>
      <c r="E313" t="s">
        <v>275</v>
      </c>
      <c r="F313" t="s">
        <v>275</v>
      </c>
      <c r="G313" t="s">
        <v>275</v>
      </c>
      <c r="H313" t="s">
        <v>260</v>
      </c>
      <c r="I313" t="s">
        <v>275</v>
      </c>
    </row>
    <row r="314" spans="1:9" x14ac:dyDescent="0.25">
      <c r="A314" s="10">
        <v>45695</v>
      </c>
      <c r="B314" t="s">
        <v>275</v>
      </c>
      <c r="C314" t="s">
        <v>275</v>
      </c>
      <c r="D314" t="s">
        <v>275</v>
      </c>
      <c r="E314" t="s">
        <v>275</v>
      </c>
      <c r="F314" t="s">
        <v>275</v>
      </c>
      <c r="G314" t="s">
        <v>275</v>
      </c>
      <c r="H314" t="s">
        <v>271</v>
      </c>
      <c r="I314" t="s">
        <v>275</v>
      </c>
    </row>
    <row r="315" spans="1:9" x14ac:dyDescent="0.25">
      <c r="A315" s="10">
        <v>45696</v>
      </c>
      <c r="B315" t="s">
        <v>275</v>
      </c>
      <c r="C315" t="s">
        <v>275</v>
      </c>
      <c r="D315" t="s">
        <v>275</v>
      </c>
      <c r="E315" t="s">
        <v>275</v>
      </c>
      <c r="F315" t="s">
        <v>260</v>
      </c>
      <c r="G315" t="s">
        <v>271</v>
      </c>
      <c r="H315" t="s">
        <v>271</v>
      </c>
      <c r="I315" t="s">
        <v>275</v>
      </c>
    </row>
    <row r="316" spans="1:9" x14ac:dyDescent="0.25">
      <c r="A316" s="10">
        <v>45697</v>
      </c>
      <c r="B316" t="s">
        <v>267</v>
      </c>
      <c r="C316" t="s">
        <v>267</v>
      </c>
      <c r="D316" t="s">
        <v>267</v>
      </c>
      <c r="E316" t="s">
        <v>267</v>
      </c>
      <c r="F316" t="s">
        <v>267</v>
      </c>
      <c r="G316" t="s">
        <v>267</v>
      </c>
      <c r="H316" t="s">
        <v>267</v>
      </c>
      <c r="I316" t="s">
        <v>267</v>
      </c>
    </row>
    <row r="317" spans="1:9" x14ac:dyDescent="0.25">
      <c r="A317" s="10">
        <v>45698</v>
      </c>
      <c r="B317" t="s">
        <v>275</v>
      </c>
      <c r="C317" t="s">
        <v>260</v>
      </c>
      <c r="D317" t="s">
        <v>260</v>
      </c>
      <c r="E317" t="s">
        <v>260</v>
      </c>
      <c r="F317" t="s">
        <v>260</v>
      </c>
      <c r="G317" t="s">
        <v>275</v>
      </c>
      <c r="H317" t="s">
        <v>275</v>
      </c>
      <c r="I317" t="s">
        <v>275</v>
      </c>
    </row>
    <row r="318" spans="1:9" x14ac:dyDescent="0.25">
      <c r="A318" s="10">
        <v>45699</v>
      </c>
      <c r="B318" t="s">
        <v>275</v>
      </c>
      <c r="C318" t="s">
        <v>260</v>
      </c>
      <c r="D318" t="s">
        <v>271</v>
      </c>
      <c r="E318" t="s">
        <v>271</v>
      </c>
      <c r="F318" t="s">
        <v>275</v>
      </c>
      <c r="G318" t="s">
        <v>275</v>
      </c>
      <c r="H318" t="s">
        <v>260</v>
      </c>
      <c r="I318" t="s">
        <v>275</v>
      </c>
    </row>
    <row r="319" spans="1:9" x14ac:dyDescent="0.25">
      <c r="A319" s="10">
        <v>45700</v>
      </c>
      <c r="B319" t="s">
        <v>275</v>
      </c>
      <c r="C319" t="s">
        <v>275</v>
      </c>
      <c r="D319" t="s">
        <v>260</v>
      </c>
      <c r="E319" t="s">
        <v>271</v>
      </c>
      <c r="F319" t="s">
        <v>275</v>
      </c>
      <c r="G319" t="s">
        <v>260</v>
      </c>
      <c r="H319" t="s">
        <v>260</v>
      </c>
      <c r="I319" t="s">
        <v>260</v>
      </c>
    </row>
    <row r="320" spans="1:9" x14ac:dyDescent="0.25">
      <c r="A320" s="10">
        <v>45701</v>
      </c>
      <c r="B320" t="s">
        <v>275</v>
      </c>
      <c r="C320" t="s">
        <v>275</v>
      </c>
      <c r="D320" t="s">
        <v>275</v>
      </c>
      <c r="E320" t="s">
        <v>275</v>
      </c>
      <c r="F320" t="s">
        <v>275</v>
      </c>
      <c r="G320" t="s">
        <v>275</v>
      </c>
      <c r="H320" t="s">
        <v>260</v>
      </c>
      <c r="I320" t="s">
        <v>271</v>
      </c>
    </row>
    <row r="321" spans="1:9" x14ac:dyDescent="0.25">
      <c r="A321" s="10">
        <v>45702</v>
      </c>
      <c r="B321" t="s">
        <v>275</v>
      </c>
      <c r="C321" t="s">
        <v>275</v>
      </c>
      <c r="D321" t="s">
        <v>275</v>
      </c>
      <c r="E321" t="s">
        <v>271</v>
      </c>
      <c r="F321" t="s">
        <v>275</v>
      </c>
      <c r="G321" t="s">
        <v>275</v>
      </c>
      <c r="H321" t="s">
        <v>271</v>
      </c>
      <c r="I321" t="s">
        <v>275</v>
      </c>
    </row>
    <row r="322" spans="1:9" x14ac:dyDescent="0.25">
      <c r="A322" s="10">
        <v>45703</v>
      </c>
      <c r="B322" t="s">
        <v>260</v>
      </c>
      <c r="C322" t="s">
        <v>275</v>
      </c>
      <c r="D322" t="s">
        <v>260</v>
      </c>
      <c r="E322" t="s">
        <v>275</v>
      </c>
      <c r="F322" t="s">
        <v>275</v>
      </c>
      <c r="G322" t="s">
        <v>275</v>
      </c>
      <c r="H322" t="s">
        <v>275</v>
      </c>
      <c r="I322" t="s">
        <v>275</v>
      </c>
    </row>
    <row r="323" spans="1:9" x14ac:dyDescent="0.25">
      <c r="A323" s="10">
        <v>45704</v>
      </c>
      <c r="B323" t="s">
        <v>267</v>
      </c>
      <c r="C323" t="s">
        <v>267</v>
      </c>
      <c r="D323" t="s">
        <v>267</v>
      </c>
      <c r="E323" t="s">
        <v>267</v>
      </c>
      <c r="F323" t="s">
        <v>267</v>
      </c>
      <c r="G323" t="s">
        <v>267</v>
      </c>
      <c r="H323" t="s">
        <v>267</v>
      </c>
      <c r="I323" t="s">
        <v>267</v>
      </c>
    </row>
    <row r="324" spans="1:9" x14ac:dyDescent="0.25">
      <c r="A324" s="10">
        <v>45705</v>
      </c>
      <c r="B324" t="s">
        <v>275</v>
      </c>
      <c r="C324" t="s">
        <v>275</v>
      </c>
      <c r="D324" t="s">
        <v>275</v>
      </c>
      <c r="E324" t="s">
        <v>275</v>
      </c>
      <c r="F324" t="s">
        <v>275</v>
      </c>
      <c r="G324" t="s">
        <v>260</v>
      </c>
      <c r="H324" t="s">
        <v>271</v>
      </c>
      <c r="I324" t="s">
        <v>260</v>
      </c>
    </row>
    <row r="325" spans="1:9" x14ac:dyDescent="0.25">
      <c r="A325" s="10">
        <v>45706</v>
      </c>
      <c r="B325" t="s">
        <v>271</v>
      </c>
      <c r="C325" t="s">
        <v>271</v>
      </c>
      <c r="D325" t="s">
        <v>271</v>
      </c>
      <c r="E325" t="s">
        <v>275</v>
      </c>
      <c r="F325" t="s">
        <v>275</v>
      </c>
      <c r="G325" t="s">
        <v>275</v>
      </c>
      <c r="H325" t="s">
        <v>260</v>
      </c>
      <c r="I325" t="s">
        <v>275</v>
      </c>
    </row>
    <row r="326" spans="1:9" x14ac:dyDescent="0.25">
      <c r="A326" s="10">
        <v>45707</v>
      </c>
      <c r="B326" t="s">
        <v>271</v>
      </c>
      <c r="C326" t="s">
        <v>260</v>
      </c>
      <c r="D326" t="s">
        <v>271</v>
      </c>
      <c r="E326" t="s">
        <v>275</v>
      </c>
      <c r="F326" t="s">
        <v>275</v>
      </c>
      <c r="G326" t="s">
        <v>271</v>
      </c>
      <c r="H326" t="s">
        <v>271</v>
      </c>
      <c r="I326" t="s">
        <v>275</v>
      </c>
    </row>
    <row r="327" spans="1:9" x14ac:dyDescent="0.25">
      <c r="A327" s="10">
        <v>45708</v>
      </c>
      <c r="B327" t="s">
        <v>275</v>
      </c>
      <c r="C327" t="s">
        <v>275</v>
      </c>
      <c r="D327" t="s">
        <v>275</v>
      </c>
      <c r="E327" t="s">
        <v>271</v>
      </c>
      <c r="F327" t="s">
        <v>271</v>
      </c>
      <c r="G327" t="s">
        <v>275</v>
      </c>
      <c r="H327" t="s">
        <v>275</v>
      </c>
      <c r="I327" t="s">
        <v>260</v>
      </c>
    </row>
    <row r="328" spans="1:9" x14ac:dyDescent="0.25">
      <c r="A328" s="10">
        <v>45709</v>
      </c>
      <c r="B328" t="s">
        <v>275</v>
      </c>
      <c r="C328" t="s">
        <v>275</v>
      </c>
      <c r="D328" t="s">
        <v>271</v>
      </c>
      <c r="E328" t="s">
        <v>260</v>
      </c>
      <c r="F328" t="s">
        <v>271</v>
      </c>
      <c r="G328" t="s">
        <v>275</v>
      </c>
      <c r="H328" t="s">
        <v>275</v>
      </c>
      <c r="I328" t="s">
        <v>275</v>
      </c>
    </row>
    <row r="329" spans="1:9" x14ac:dyDescent="0.25">
      <c r="A329" s="10">
        <v>45710</v>
      </c>
      <c r="B329" t="s">
        <v>275</v>
      </c>
      <c r="C329" t="s">
        <v>275</v>
      </c>
      <c r="D329" t="s">
        <v>275</v>
      </c>
      <c r="E329" t="s">
        <v>271</v>
      </c>
      <c r="F329" t="s">
        <v>275</v>
      </c>
      <c r="G329" t="s">
        <v>275</v>
      </c>
      <c r="H329" t="s">
        <v>260</v>
      </c>
      <c r="I329" t="s">
        <v>271</v>
      </c>
    </row>
    <row r="330" spans="1:9" x14ac:dyDescent="0.25">
      <c r="A330" s="10">
        <v>45711</v>
      </c>
      <c r="B330" t="s">
        <v>267</v>
      </c>
      <c r="C330" t="s">
        <v>267</v>
      </c>
      <c r="D330" t="s">
        <v>267</v>
      </c>
      <c r="E330" t="s">
        <v>267</v>
      </c>
      <c r="F330" t="s">
        <v>267</v>
      </c>
      <c r="G330" t="s">
        <v>267</v>
      </c>
      <c r="H330" t="s">
        <v>267</v>
      </c>
      <c r="I330" t="s">
        <v>267</v>
      </c>
    </row>
    <row r="331" spans="1:9" x14ac:dyDescent="0.25">
      <c r="A331" s="10">
        <v>45712</v>
      </c>
      <c r="B331" t="s">
        <v>260</v>
      </c>
      <c r="C331" t="s">
        <v>275</v>
      </c>
      <c r="D331" t="s">
        <v>275</v>
      </c>
      <c r="E331" t="s">
        <v>275</v>
      </c>
      <c r="F331" t="s">
        <v>271</v>
      </c>
      <c r="G331" t="s">
        <v>275</v>
      </c>
      <c r="H331" t="s">
        <v>275</v>
      </c>
      <c r="I331" t="s">
        <v>275</v>
      </c>
    </row>
    <row r="332" spans="1:9" x14ac:dyDescent="0.25">
      <c r="A332" s="10">
        <v>45713</v>
      </c>
      <c r="B332" t="s">
        <v>275</v>
      </c>
      <c r="C332" t="s">
        <v>271</v>
      </c>
      <c r="D332" t="s">
        <v>271</v>
      </c>
      <c r="E332" t="s">
        <v>275</v>
      </c>
      <c r="F332" t="s">
        <v>275</v>
      </c>
      <c r="G332" t="s">
        <v>275</v>
      </c>
      <c r="H332" t="s">
        <v>260</v>
      </c>
      <c r="I332" t="s">
        <v>271</v>
      </c>
    </row>
    <row r="333" spans="1:9" x14ac:dyDescent="0.25">
      <c r="A333" s="10">
        <v>45714</v>
      </c>
      <c r="B333" t="s">
        <v>260</v>
      </c>
      <c r="C333" t="s">
        <v>275</v>
      </c>
      <c r="D333" t="s">
        <v>260</v>
      </c>
      <c r="E333" t="s">
        <v>275</v>
      </c>
      <c r="F333" t="s">
        <v>260</v>
      </c>
      <c r="G333" t="s">
        <v>260</v>
      </c>
      <c r="H333" t="s">
        <v>271</v>
      </c>
      <c r="I333" t="s">
        <v>275</v>
      </c>
    </row>
    <row r="334" spans="1:9" x14ac:dyDescent="0.25">
      <c r="A334" s="10">
        <v>45715</v>
      </c>
      <c r="B334" t="s">
        <v>271</v>
      </c>
      <c r="C334" t="s">
        <v>271</v>
      </c>
      <c r="D334" t="s">
        <v>275</v>
      </c>
      <c r="E334" t="s">
        <v>260</v>
      </c>
      <c r="F334" t="s">
        <v>271</v>
      </c>
      <c r="G334" t="s">
        <v>271</v>
      </c>
      <c r="H334" t="s">
        <v>275</v>
      </c>
      <c r="I334" t="s">
        <v>275</v>
      </c>
    </row>
    <row r="335" spans="1:9" x14ac:dyDescent="0.25">
      <c r="A335" s="10">
        <v>45716</v>
      </c>
      <c r="B335" t="s">
        <v>275</v>
      </c>
      <c r="C335" t="s">
        <v>275</v>
      </c>
      <c r="D335" t="s">
        <v>275</v>
      </c>
      <c r="E335" t="s">
        <v>260</v>
      </c>
      <c r="F335" t="s">
        <v>275</v>
      </c>
      <c r="G335" t="s">
        <v>275</v>
      </c>
      <c r="H335" t="s">
        <v>260</v>
      </c>
      <c r="I335" t="s">
        <v>275</v>
      </c>
    </row>
    <row r="336" spans="1:9" x14ac:dyDescent="0.25">
      <c r="A336" s="10">
        <v>45717</v>
      </c>
      <c r="B336" t="s">
        <v>275</v>
      </c>
      <c r="C336" t="s">
        <v>275</v>
      </c>
      <c r="D336" t="s">
        <v>275</v>
      </c>
      <c r="E336" t="s">
        <v>275</v>
      </c>
      <c r="F336" t="s">
        <v>260</v>
      </c>
      <c r="G336" t="s">
        <v>275</v>
      </c>
      <c r="H336" t="s">
        <v>275</v>
      </c>
      <c r="I336" t="s">
        <v>275</v>
      </c>
    </row>
    <row r="337" spans="1:9" x14ac:dyDescent="0.25">
      <c r="A337" s="10">
        <v>45718</v>
      </c>
      <c r="B337" t="s">
        <v>267</v>
      </c>
      <c r="C337" t="s">
        <v>267</v>
      </c>
      <c r="D337" t="s">
        <v>267</v>
      </c>
      <c r="E337" t="s">
        <v>267</v>
      </c>
      <c r="F337" t="s">
        <v>267</v>
      </c>
      <c r="G337" t="s">
        <v>267</v>
      </c>
      <c r="H337" t="s">
        <v>267</v>
      </c>
      <c r="I337" t="s">
        <v>267</v>
      </c>
    </row>
    <row r="338" spans="1:9" x14ac:dyDescent="0.25">
      <c r="A338" s="10">
        <v>45719</v>
      </c>
      <c r="B338" t="s">
        <v>275</v>
      </c>
      <c r="C338" t="s">
        <v>260</v>
      </c>
      <c r="D338" t="s">
        <v>275</v>
      </c>
      <c r="E338" t="s">
        <v>260</v>
      </c>
      <c r="F338" t="s">
        <v>275</v>
      </c>
      <c r="G338" t="s">
        <v>275</v>
      </c>
      <c r="H338" t="s">
        <v>275</v>
      </c>
      <c r="I338" t="s">
        <v>271</v>
      </c>
    </row>
    <row r="339" spans="1:9" x14ac:dyDescent="0.25">
      <c r="A339" s="10">
        <v>45720</v>
      </c>
      <c r="B339" t="s">
        <v>275</v>
      </c>
      <c r="C339" t="s">
        <v>260</v>
      </c>
      <c r="D339" t="s">
        <v>275</v>
      </c>
      <c r="E339" t="s">
        <v>275</v>
      </c>
      <c r="F339" t="s">
        <v>271</v>
      </c>
      <c r="G339" t="s">
        <v>260</v>
      </c>
      <c r="H339" t="s">
        <v>260</v>
      </c>
      <c r="I339" t="s">
        <v>275</v>
      </c>
    </row>
    <row r="340" spans="1:9" x14ac:dyDescent="0.25">
      <c r="A340" s="10">
        <v>45721</v>
      </c>
      <c r="B340" t="s">
        <v>275</v>
      </c>
      <c r="C340" t="s">
        <v>275</v>
      </c>
      <c r="D340" t="s">
        <v>271</v>
      </c>
      <c r="E340" t="s">
        <v>271</v>
      </c>
      <c r="F340" t="s">
        <v>275</v>
      </c>
      <c r="G340" t="s">
        <v>275</v>
      </c>
      <c r="H340" t="s">
        <v>275</v>
      </c>
      <c r="I340" t="s">
        <v>260</v>
      </c>
    </row>
    <row r="341" spans="1:9" x14ac:dyDescent="0.25">
      <c r="A341" s="10">
        <v>45722</v>
      </c>
      <c r="B341" t="s">
        <v>271</v>
      </c>
      <c r="C341" t="s">
        <v>260</v>
      </c>
      <c r="D341" t="s">
        <v>275</v>
      </c>
      <c r="E341" t="s">
        <v>275</v>
      </c>
      <c r="F341" t="s">
        <v>275</v>
      </c>
      <c r="G341" t="s">
        <v>275</v>
      </c>
      <c r="H341" t="s">
        <v>260</v>
      </c>
      <c r="I341" t="s">
        <v>275</v>
      </c>
    </row>
    <row r="342" spans="1:9" x14ac:dyDescent="0.25">
      <c r="A342" s="10">
        <v>45723</v>
      </c>
      <c r="B342" t="s">
        <v>275</v>
      </c>
      <c r="C342" t="s">
        <v>275</v>
      </c>
      <c r="D342" t="s">
        <v>271</v>
      </c>
      <c r="E342" t="s">
        <v>271</v>
      </c>
      <c r="F342" t="s">
        <v>271</v>
      </c>
      <c r="G342" t="s">
        <v>275</v>
      </c>
      <c r="H342" t="s">
        <v>275</v>
      </c>
      <c r="I342" t="s">
        <v>275</v>
      </c>
    </row>
    <row r="343" spans="1:9" x14ac:dyDescent="0.25">
      <c r="A343" s="10">
        <v>45724</v>
      </c>
      <c r="B343" t="s">
        <v>275</v>
      </c>
      <c r="C343" t="s">
        <v>275</v>
      </c>
      <c r="D343" t="s">
        <v>260</v>
      </c>
      <c r="E343" t="s">
        <v>271</v>
      </c>
      <c r="F343" t="s">
        <v>260</v>
      </c>
      <c r="G343" t="s">
        <v>275</v>
      </c>
      <c r="H343" t="s">
        <v>275</v>
      </c>
      <c r="I343" t="s">
        <v>275</v>
      </c>
    </row>
    <row r="344" spans="1:9" x14ac:dyDescent="0.25">
      <c r="A344" s="10">
        <v>45725</v>
      </c>
      <c r="B344" t="s">
        <v>267</v>
      </c>
      <c r="C344" t="s">
        <v>267</v>
      </c>
      <c r="D344" t="s">
        <v>267</v>
      </c>
      <c r="E344" t="s">
        <v>267</v>
      </c>
      <c r="F344" t="s">
        <v>267</v>
      </c>
      <c r="G344" t="s">
        <v>267</v>
      </c>
      <c r="H344" t="s">
        <v>267</v>
      </c>
      <c r="I344" t="s">
        <v>267</v>
      </c>
    </row>
    <row r="345" spans="1:9" x14ac:dyDescent="0.25">
      <c r="A345" s="10">
        <v>45726</v>
      </c>
      <c r="B345" t="s">
        <v>275</v>
      </c>
      <c r="C345" t="s">
        <v>275</v>
      </c>
      <c r="D345" t="s">
        <v>275</v>
      </c>
      <c r="E345" t="s">
        <v>271</v>
      </c>
      <c r="F345" t="s">
        <v>275</v>
      </c>
      <c r="G345" t="s">
        <v>260</v>
      </c>
      <c r="H345" t="s">
        <v>260</v>
      </c>
      <c r="I345" t="s">
        <v>275</v>
      </c>
    </row>
    <row r="346" spans="1:9" x14ac:dyDescent="0.25">
      <c r="A346" s="10">
        <v>45727</v>
      </c>
      <c r="B346" t="s">
        <v>260</v>
      </c>
      <c r="C346" t="s">
        <v>260</v>
      </c>
      <c r="D346" t="s">
        <v>275</v>
      </c>
      <c r="E346" t="s">
        <v>260</v>
      </c>
      <c r="F346" t="s">
        <v>275</v>
      </c>
      <c r="G346" t="s">
        <v>275</v>
      </c>
      <c r="H346" t="s">
        <v>275</v>
      </c>
      <c r="I346" t="s">
        <v>271</v>
      </c>
    </row>
    <row r="347" spans="1:9" x14ac:dyDescent="0.25">
      <c r="A347" s="10">
        <v>45728</v>
      </c>
      <c r="B347" t="s">
        <v>275</v>
      </c>
      <c r="C347" t="s">
        <v>260</v>
      </c>
      <c r="D347" t="s">
        <v>260</v>
      </c>
      <c r="E347" t="s">
        <v>275</v>
      </c>
      <c r="F347" t="s">
        <v>271</v>
      </c>
      <c r="G347" t="s">
        <v>275</v>
      </c>
      <c r="H347" t="s">
        <v>271</v>
      </c>
      <c r="I347" t="s">
        <v>275</v>
      </c>
    </row>
    <row r="348" spans="1:9" x14ac:dyDescent="0.25">
      <c r="A348" s="10">
        <v>45729</v>
      </c>
      <c r="B348" t="s">
        <v>275</v>
      </c>
      <c r="C348" t="s">
        <v>275</v>
      </c>
      <c r="D348" t="s">
        <v>275</v>
      </c>
      <c r="E348" t="s">
        <v>260</v>
      </c>
      <c r="F348" t="s">
        <v>275</v>
      </c>
      <c r="G348" t="s">
        <v>271</v>
      </c>
      <c r="H348" t="s">
        <v>260</v>
      </c>
      <c r="I348" t="s">
        <v>275</v>
      </c>
    </row>
    <row r="349" spans="1:9" x14ac:dyDescent="0.25">
      <c r="A349" s="10">
        <v>45730</v>
      </c>
      <c r="B349" t="s">
        <v>260</v>
      </c>
      <c r="C349" t="s">
        <v>271</v>
      </c>
      <c r="D349" t="s">
        <v>275</v>
      </c>
      <c r="E349" t="s">
        <v>260</v>
      </c>
      <c r="F349" t="s">
        <v>275</v>
      </c>
      <c r="G349" t="s">
        <v>275</v>
      </c>
      <c r="H349" t="s">
        <v>275</v>
      </c>
      <c r="I349" t="s">
        <v>275</v>
      </c>
    </row>
    <row r="350" spans="1:9" x14ac:dyDescent="0.25">
      <c r="A350" s="10">
        <v>45731</v>
      </c>
      <c r="B350" t="s">
        <v>271</v>
      </c>
      <c r="C350" t="s">
        <v>275</v>
      </c>
      <c r="D350" t="s">
        <v>275</v>
      </c>
      <c r="E350" t="s">
        <v>260</v>
      </c>
      <c r="F350" t="s">
        <v>275</v>
      </c>
      <c r="G350" t="s">
        <v>260</v>
      </c>
      <c r="H350" t="s">
        <v>275</v>
      </c>
      <c r="I350" t="s">
        <v>275</v>
      </c>
    </row>
    <row r="351" spans="1:9" x14ac:dyDescent="0.25">
      <c r="A351" s="10">
        <v>45732</v>
      </c>
      <c r="B351" t="s">
        <v>267</v>
      </c>
      <c r="C351" t="s">
        <v>267</v>
      </c>
      <c r="D351" t="s">
        <v>267</v>
      </c>
      <c r="E351" t="s">
        <v>267</v>
      </c>
      <c r="F351" t="s">
        <v>267</v>
      </c>
      <c r="G351" t="s">
        <v>267</v>
      </c>
      <c r="H351" t="s">
        <v>267</v>
      </c>
      <c r="I351" t="s">
        <v>267</v>
      </c>
    </row>
    <row r="352" spans="1:9" x14ac:dyDescent="0.25">
      <c r="A352" s="10">
        <v>45733</v>
      </c>
      <c r="B352" t="s">
        <v>271</v>
      </c>
      <c r="C352" t="s">
        <v>260</v>
      </c>
      <c r="D352" t="s">
        <v>275</v>
      </c>
      <c r="E352" t="s">
        <v>260</v>
      </c>
      <c r="F352" t="s">
        <v>275</v>
      </c>
      <c r="G352" t="s">
        <v>260</v>
      </c>
      <c r="H352" t="s">
        <v>275</v>
      </c>
      <c r="I352" t="s">
        <v>271</v>
      </c>
    </row>
    <row r="353" spans="1:9" x14ac:dyDescent="0.25">
      <c r="A353" s="10">
        <v>45734</v>
      </c>
      <c r="B353" t="s">
        <v>260</v>
      </c>
      <c r="C353" t="s">
        <v>275</v>
      </c>
      <c r="D353" t="s">
        <v>275</v>
      </c>
      <c r="E353" t="s">
        <v>260</v>
      </c>
      <c r="F353" t="s">
        <v>275</v>
      </c>
      <c r="G353" t="s">
        <v>275</v>
      </c>
      <c r="H353" t="s">
        <v>275</v>
      </c>
      <c r="I353" t="s">
        <v>271</v>
      </c>
    </row>
    <row r="354" spans="1:9" x14ac:dyDescent="0.25">
      <c r="A354" s="10">
        <v>45735</v>
      </c>
      <c r="B354" t="s">
        <v>275</v>
      </c>
      <c r="C354" t="s">
        <v>275</v>
      </c>
      <c r="D354" t="s">
        <v>271</v>
      </c>
      <c r="E354" t="s">
        <v>275</v>
      </c>
      <c r="F354" t="s">
        <v>260</v>
      </c>
      <c r="G354" t="s">
        <v>275</v>
      </c>
      <c r="H354" t="s">
        <v>275</v>
      </c>
      <c r="I354" t="s">
        <v>275</v>
      </c>
    </row>
    <row r="355" spans="1:9" x14ac:dyDescent="0.25">
      <c r="A355" s="10">
        <v>45736</v>
      </c>
      <c r="B355" t="s">
        <v>275</v>
      </c>
      <c r="C355" t="s">
        <v>260</v>
      </c>
      <c r="D355" t="s">
        <v>275</v>
      </c>
      <c r="E355" t="s">
        <v>275</v>
      </c>
      <c r="F355" t="s">
        <v>271</v>
      </c>
      <c r="G355" t="s">
        <v>275</v>
      </c>
      <c r="H355" t="s">
        <v>275</v>
      </c>
      <c r="I355" t="s">
        <v>260</v>
      </c>
    </row>
    <row r="356" spans="1:9" x14ac:dyDescent="0.25">
      <c r="A356" s="10">
        <v>45737</v>
      </c>
      <c r="B356" t="s">
        <v>275</v>
      </c>
      <c r="C356" t="s">
        <v>275</v>
      </c>
      <c r="D356" t="s">
        <v>275</v>
      </c>
      <c r="E356" t="s">
        <v>275</v>
      </c>
      <c r="F356" t="s">
        <v>275</v>
      </c>
      <c r="G356" t="s">
        <v>271</v>
      </c>
      <c r="H356" t="s">
        <v>271</v>
      </c>
      <c r="I356" t="s">
        <v>260</v>
      </c>
    </row>
    <row r="357" spans="1:9" x14ac:dyDescent="0.25">
      <c r="A357" s="10">
        <v>45738</v>
      </c>
      <c r="B357" t="s">
        <v>275</v>
      </c>
      <c r="C357" t="s">
        <v>260</v>
      </c>
      <c r="D357" t="s">
        <v>275</v>
      </c>
      <c r="E357" t="s">
        <v>271</v>
      </c>
      <c r="F357" t="s">
        <v>275</v>
      </c>
      <c r="G357" t="s">
        <v>275</v>
      </c>
      <c r="H357" t="s">
        <v>260</v>
      </c>
      <c r="I357" t="s">
        <v>275</v>
      </c>
    </row>
    <row r="358" spans="1:9" x14ac:dyDescent="0.25">
      <c r="A358" s="10">
        <v>45739</v>
      </c>
      <c r="B358" t="s">
        <v>267</v>
      </c>
      <c r="C358" t="s">
        <v>267</v>
      </c>
      <c r="D358" t="s">
        <v>267</v>
      </c>
      <c r="E358" t="s">
        <v>267</v>
      </c>
      <c r="F358" t="s">
        <v>267</v>
      </c>
      <c r="G358" t="s">
        <v>267</v>
      </c>
      <c r="H358" t="s">
        <v>267</v>
      </c>
      <c r="I358" t="s">
        <v>267</v>
      </c>
    </row>
    <row r="359" spans="1:9" x14ac:dyDescent="0.25">
      <c r="A359" s="10">
        <v>45740</v>
      </c>
      <c r="B359" t="s">
        <v>275</v>
      </c>
      <c r="C359" t="s">
        <v>260</v>
      </c>
      <c r="D359" t="s">
        <v>271</v>
      </c>
      <c r="E359" t="s">
        <v>260</v>
      </c>
      <c r="F359" t="s">
        <v>271</v>
      </c>
      <c r="G359" t="s">
        <v>260</v>
      </c>
      <c r="H359" t="s">
        <v>275</v>
      </c>
      <c r="I359" t="s">
        <v>271</v>
      </c>
    </row>
    <row r="360" spans="1:9" x14ac:dyDescent="0.25">
      <c r="A360" s="10">
        <v>45741</v>
      </c>
      <c r="B360" t="s">
        <v>275</v>
      </c>
      <c r="C360" t="s">
        <v>260</v>
      </c>
      <c r="D360" t="s">
        <v>260</v>
      </c>
      <c r="E360" t="s">
        <v>275</v>
      </c>
      <c r="F360" t="s">
        <v>260</v>
      </c>
      <c r="G360" t="s">
        <v>275</v>
      </c>
      <c r="H360" t="s">
        <v>275</v>
      </c>
      <c r="I360" t="s">
        <v>271</v>
      </c>
    </row>
    <row r="361" spans="1:9" x14ac:dyDescent="0.25">
      <c r="A361" s="10">
        <v>45742</v>
      </c>
      <c r="B361" t="s">
        <v>275</v>
      </c>
      <c r="C361" t="s">
        <v>275</v>
      </c>
      <c r="D361" t="s">
        <v>275</v>
      </c>
      <c r="E361" t="s">
        <v>260</v>
      </c>
      <c r="F361" t="s">
        <v>271</v>
      </c>
      <c r="G361" t="s">
        <v>275</v>
      </c>
      <c r="H361" t="s">
        <v>271</v>
      </c>
      <c r="I361" t="s">
        <v>271</v>
      </c>
    </row>
    <row r="362" spans="1:9" x14ac:dyDescent="0.25">
      <c r="A362" s="10">
        <v>45743</v>
      </c>
      <c r="B362" t="s">
        <v>275</v>
      </c>
      <c r="C362" t="s">
        <v>275</v>
      </c>
      <c r="D362" t="s">
        <v>260</v>
      </c>
      <c r="E362" t="s">
        <v>260</v>
      </c>
      <c r="F362" t="s">
        <v>260</v>
      </c>
      <c r="G362" t="s">
        <v>275</v>
      </c>
      <c r="H362" t="s">
        <v>271</v>
      </c>
      <c r="I362" t="s">
        <v>271</v>
      </c>
    </row>
    <row r="363" spans="1:9" x14ac:dyDescent="0.25">
      <c r="A363" s="10">
        <v>45744</v>
      </c>
      <c r="B363" t="s">
        <v>275</v>
      </c>
      <c r="C363" t="s">
        <v>271</v>
      </c>
      <c r="D363" t="s">
        <v>275</v>
      </c>
      <c r="E363" t="s">
        <v>271</v>
      </c>
      <c r="F363" t="s">
        <v>275</v>
      </c>
      <c r="G363" t="s">
        <v>275</v>
      </c>
      <c r="H363" t="s">
        <v>275</v>
      </c>
      <c r="I363" t="s">
        <v>275</v>
      </c>
    </row>
    <row r="364" spans="1:9" x14ac:dyDescent="0.25">
      <c r="A364" s="10">
        <v>45745</v>
      </c>
      <c r="B364" t="s">
        <v>271</v>
      </c>
      <c r="C364" t="s">
        <v>275</v>
      </c>
      <c r="D364" t="s">
        <v>275</v>
      </c>
      <c r="E364" t="s">
        <v>275</v>
      </c>
      <c r="F364" t="s">
        <v>260</v>
      </c>
      <c r="G364" t="s">
        <v>275</v>
      </c>
      <c r="H364" t="s">
        <v>275</v>
      </c>
      <c r="I364" t="s">
        <v>260</v>
      </c>
    </row>
    <row r="365" spans="1:9" x14ac:dyDescent="0.25">
      <c r="A365" s="10">
        <v>45746</v>
      </c>
      <c r="B365" t="s">
        <v>267</v>
      </c>
      <c r="C365" t="s">
        <v>267</v>
      </c>
      <c r="D365" t="s">
        <v>267</v>
      </c>
      <c r="E365" t="s">
        <v>267</v>
      </c>
      <c r="F365" t="s">
        <v>267</v>
      </c>
      <c r="G365" t="s">
        <v>267</v>
      </c>
      <c r="H365" t="s">
        <v>267</v>
      </c>
      <c r="I365" t="s">
        <v>267</v>
      </c>
    </row>
    <row r="366" spans="1:9" x14ac:dyDescent="0.25">
      <c r="A366" s="10">
        <v>45747</v>
      </c>
      <c r="B366" t="s">
        <v>275</v>
      </c>
      <c r="C366" t="s">
        <v>271</v>
      </c>
      <c r="D366" t="s">
        <v>260</v>
      </c>
      <c r="E366" t="s">
        <v>275</v>
      </c>
      <c r="F366" t="s">
        <v>275</v>
      </c>
      <c r="G366" t="s">
        <v>275</v>
      </c>
      <c r="H366" t="s">
        <v>275</v>
      </c>
      <c r="I366" t="s">
        <v>260</v>
      </c>
    </row>
  </sheetData>
  <conditionalFormatting sqref="B2:I366">
    <cfRule type="containsText" dxfId="3" priority="1" operator="containsText" text="A">
      <formula>NOT(ISERROR(SEARCH("A",B2)))</formula>
    </cfRule>
    <cfRule type="containsText" dxfId="2" priority="2" operator="containsText" text="L">
      <formula>NOT(ISERROR(SEARCH("L",B2)))</formula>
    </cfRule>
    <cfRule type="containsText" dxfId="1" priority="3" operator="containsText" text="H">
      <formula>NOT(ISERROR(SEARCH("H",B2)))</formula>
    </cfRule>
    <cfRule type="containsText" dxfId="0" priority="4" operator="containsText" text="P">
      <formula>NOT(ISERROR(SEARCH("P",B2)))</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9461C-B95B-435D-8C38-CB5E98C6EE66}">
  <sheetPr codeName="Sheet36"/>
  <dimension ref="A1:Q20"/>
  <sheetViews>
    <sheetView workbookViewId="0">
      <selection activeCell="M28" sqref="M28"/>
    </sheetView>
  </sheetViews>
  <sheetFormatPr defaultRowHeight="15" x14ac:dyDescent="0.25"/>
  <cols>
    <col min="1" max="1" width="9.7109375" bestFit="1" customWidth="1"/>
    <col min="2" max="2" width="20.28515625" bestFit="1" customWidth="1"/>
    <col min="3" max="7" width="6.42578125" bestFit="1" customWidth="1"/>
  </cols>
  <sheetData>
    <row r="1" spans="1:17" x14ac:dyDescent="0.25">
      <c r="A1" s="61" t="s">
        <v>358</v>
      </c>
      <c r="B1" s="61"/>
      <c r="C1" s="61"/>
      <c r="D1" s="61"/>
      <c r="E1" s="61"/>
      <c r="F1" s="61"/>
      <c r="G1" s="61"/>
      <c r="M1" t="s">
        <v>0</v>
      </c>
      <c r="N1" s="17" t="s">
        <v>324</v>
      </c>
      <c r="O1" s="18" t="s">
        <v>325</v>
      </c>
      <c r="P1" s="19" t="s">
        <v>326</v>
      </c>
      <c r="Q1" s="1" t="s">
        <v>327</v>
      </c>
    </row>
    <row r="2" spans="1:17" x14ac:dyDescent="0.25">
      <c r="A2" t="s">
        <v>0</v>
      </c>
      <c r="B2" t="s">
        <v>334</v>
      </c>
      <c r="C2" t="s">
        <v>353</v>
      </c>
      <c r="D2" t="s">
        <v>354</v>
      </c>
      <c r="E2" t="s">
        <v>355</v>
      </c>
      <c r="F2" t="s">
        <v>356</v>
      </c>
      <c r="G2" t="s">
        <v>357</v>
      </c>
      <c r="M2" t="s">
        <v>187</v>
      </c>
      <c r="N2">
        <v>67</v>
      </c>
      <c r="O2">
        <v>69</v>
      </c>
      <c r="P2">
        <v>61</v>
      </c>
      <c r="Q2">
        <v>63</v>
      </c>
    </row>
    <row r="3" spans="1:17" x14ac:dyDescent="0.25">
      <c r="A3" t="s">
        <v>187</v>
      </c>
      <c r="B3" t="s">
        <v>335</v>
      </c>
      <c r="C3">
        <v>190</v>
      </c>
      <c r="D3">
        <v>684</v>
      </c>
      <c r="E3">
        <v>748</v>
      </c>
      <c r="F3">
        <v>360</v>
      </c>
      <c r="G3">
        <v>646</v>
      </c>
      <c r="M3" t="s">
        <v>64</v>
      </c>
      <c r="N3">
        <v>86</v>
      </c>
      <c r="O3">
        <v>82</v>
      </c>
      <c r="P3">
        <v>95</v>
      </c>
      <c r="Q3">
        <v>81</v>
      </c>
    </row>
    <row r="4" spans="1:17" x14ac:dyDescent="0.25">
      <c r="A4" t="s">
        <v>64</v>
      </c>
      <c r="B4" t="s">
        <v>336</v>
      </c>
      <c r="C4">
        <v>190</v>
      </c>
      <c r="D4">
        <v>217</v>
      </c>
      <c r="E4">
        <v>226</v>
      </c>
      <c r="F4">
        <v>167</v>
      </c>
      <c r="G4">
        <v>897</v>
      </c>
      <c r="M4" t="s">
        <v>47</v>
      </c>
      <c r="N4">
        <v>70</v>
      </c>
      <c r="O4">
        <v>56</v>
      </c>
      <c r="P4">
        <v>69</v>
      </c>
      <c r="Q4">
        <v>79</v>
      </c>
    </row>
    <row r="5" spans="1:17" x14ac:dyDescent="0.25">
      <c r="A5" t="s">
        <v>47</v>
      </c>
      <c r="B5" t="s">
        <v>337</v>
      </c>
      <c r="C5">
        <v>259</v>
      </c>
      <c r="D5">
        <v>759</v>
      </c>
      <c r="E5">
        <v>786</v>
      </c>
      <c r="F5">
        <v>190</v>
      </c>
      <c r="G5">
        <v>507</v>
      </c>
      <c r="M5" t="s">
        <v>112</v>
      </c>
      <c r="N5">
        <v>94</v>
      </c>
      <c r="O5">
        <v>79</v>
      </c>
      <c r="P5">
        <v>92</v>
      </c>
      <c r="Q5">
        <v>69</v>
      </c>
    </row>
    <row r="6" spans="1:17" x14ac:dyDescent="0.25">
      <c r="A6" t="s">
        <v>112</v>
      </c>
      <c r="B6" t="s">
        <v>338</v>
      </c>
      <c r="C6">
        <v>960</v>
      </c>
      <c r="D6">
        <v>939</v>
      </c>
      <c r="E6">
        <v>909</v>
      </c>
      <c r="F6">
        <v>520</v>
      </c>
      <c r="G6">
        <v>376</v>
      </c>
      <c r="M6" t="s">
        <v>189</v>
      </c>
      <c r="N6">
        <v>73</v>
      </c>
      <c r="O6">
        <v>96</v>
      </c>
      <c r="P6">
        <v>63</v>
      </c>
      <c r="Q6">
        <v>87</v>
      </c>
    </row>
    <row r="7" spans="1:17" x14ac:dyDescent="0.25">
      <c r="A7" t="s">
        <v>189</v>
      </c>
      <c r="B7" t="s">
        <v>339</v>
      </c>
      <c r="C7">
        <v>853</v>
      </c>
      <c r="D7">
        <v>368</v>
      </c>
      <c r="E7">
        <v>972</v>
      </c>
      <c r="F7">
        <v>148</v>
      </c>
      <c r="G7">
        <v>975</v>
      </c>
      <c r="M7" t="s">
        <v>65</v>
      </c>
      <c r="N7">
        <v>81</v>
      </c>
      <c r="O7">
        <v>52</v>
      </c>
      <c r="P7">
        <v>64</v>
      </c>
      <c r="Q7">
        <v>82</v>
      </c>
    </row>
    <row r="8" spans="1:17" x14ac:dyDescent="0.25">
      <c r="A8" t="s">
        <v>65</v>
      </c>
      <c r="B8" t="s">
        <v>340</v>
      </c>
      <c r="C8">
        <v>480</v>
      </c>
      <c r="D8">
        <v>750</v>
      </c>
      <c r="E8">
        <v>240</v>
      </c>
      <c r="F8">
        <v>118</v>
      </c>
      <c r="G8">
        <v>942</v>
      </c>
      <c r="M8" t="s">
        <v>341</v>
      </c>
      <c r="N8">
        <v>91</v>
      </c>
      <c r="O8">
        <v>61</v>
      </c>
      <c r="P8">
        <v>75</v>
      </c>
      <c r="Q8">
        <v>88</v>
      </c>
    </row>
    <row r="9" spans="1:17" x14ac:dyDescent="0.25">
      <c r="M9" t="s">
        <v>342</v>
      </c>
      <c r="N9">
        <v>92</v>
      </c>
      <c r="O9">
        <v>89</v>
      </c>
      <c r="P9">
        <v>50</v>
      </c>
      <c r="Q9">
        <v>60</v>
      </c>
    </row>
    <row r="10" spans="1:17" x14ac:dyDescent="0.25">
      <c r="M10" t="s">
        <v>343</v>
      </c>
      <c r="N10">
        <v>74</v>
      </c>
      <c r="O10">
        <v>61</v>
      </c>
      <c r="P10">
        <v>82</v>
      </c>
      <c r="Q10">
        <v>73</v>
      </c>
    </row>
    <row r="11" spans="1:17" x14ac:dyDescent="0.25">
      <c r="M11" t="s">
        <v>344</v>
      </c>
      <c r="N11">
        <v>76</v>
      </c>
      <c r="O11">
        <v>77</v>
      </c>
      <c r="P11">
        <v>50</v>
      </c>
      <c r="Q11">
        <v>72</v>
      </c>
    </row>
    <row r="12" spans="1:17" x14ac:dyDescent="0.25">
      <c r="M12" t="s">
        <v>345</v>
      </c>
      <c r="N12">
        <v>93</v>
      </c>
      <c r="O12">
        <v>58</v>
      </c>
      <c r="P12">
        <v>51</v>
      </c>
      <c r="Q12">
        <v>52</v>
      </c>
    </row>
    <row r="13" spans="1:17" x14ac:dyDescent="0.25">
      <c r="A13" s="61" t="s">
        <v>359</v>
      </c>
      <c r="B13" s="61"/>
      <c r="C13" s="61"/>
      <c r="D13" s="61"/>
      <c r="E13" s="61"/>
      <c r="F13" s="61"/>
      <c r="G13" s="61"/>
      <c r="M13" t="s">
        <v>346</v>
      </c>
      <c r="N13">
        <v>74</v>
      </c>
      <c r="O13">
        <v>62</v>
      </c>
      <c r="P13">
        <v>67</v>
      </c>
      <c r="Q13">
        <v>85</v>
      </c>
    </row>
    <row r="14" spans="1:17" x14ac:dyDescent="0.25">
      <c r="A14" t="s">
        <v>0</v>
      </c>
      <c r="B14" t="s">
        <v>334</v>
      </c>
      <c r="C14" t="s">
        <v>353</v>
      </c>
      <c r="D14" t="s">
        <v>354</v>
      </c>
      <c r="E14" t="s">
        <v>355</v>
      </c>
      <c r="F14" t="s">
        <v>356</v>
      </c>
      <c r="G14" t="s">
        <v>357</v>
      </c>
    </row>
    <row r="15" spans="1:17" x14ac:dyDescent="0.25">
      <c r="A15" t="s">
        <v>341</v>
      </c>
      <c r="B15" t="s">
        <v>347</v>
      </c>
      <c r="C15">
        <v>603</v>
      </c>
      <c r="D15">
        <v>831</v>
      </c>
      <c r="E15">
        <v>139</v>
      </c>
      <c r="F15">
        <v>440</v>
      </c>
      <c r="G15">
        <v>396</v>
      </c>
    </row>
    <row r="16" spans="1:17" x14ac:dyDescent="0.25">
      <c r="A16" t="s">
        <v>342</v>
      </c>
      <c r="B16" t="s">
        <v>348</v>
      </c>
      <c r="C16">
        <v>235</v>
      </c>
      <c r="D16">
        <v>556</v>
      </c>
      <c r="E16">
        <v>995</v>
      </c>
      <c r="F16">
        <v>250</v>
      </c>
      <c r="G16">
        <v>330</v>
      </c>
    </row>
    <row r="17" spans="1:7" x14ac:dyDescent="0.25">
      <c r="A17" t="s">
        <v>343</v>
      </c>
      <c r="B17" t="s">
        <v>349</v>
      </c>
      <c r="C17">
        <v>545</v>
      </c>
      <c r="D17">
        <v>457</v>
      </c>
      <c r="E17">
        <v>892</v>
      </c>
      <c r="F17">
        <v>586</v>
      </c>
      <c r="G17">
        <v>728</v>
      </c>
    </row>
    <row r="18" spans="1:7" x14ac:dyDescent="0.25">
      <c r="A18" t="s">
        <v>344</v>
      </c>
      <c r="B18" t="s">
        <v>350</v>
      </c>
      <c r="C18">
        <v>462</v>
      </c>
      <c r="D18">
        <v>833</v>
      </c>
      <c r="E18">
        <v>221</v>
      </c>
      <c r="F18">
        <v>697</v>
      </c>
      <c r="G18">
        <v>419</v>
      </c>
    </row>
    <row r="19" spans="1:7" x14ac:dyDescent="0.25">
      <c r="A19" t="s">
        <v>345</v>
      </c>
      <c r="B19" t="s">
        <v>351</v>
      </c>
      <c r="C19">
        <v>835</v>
      </c>
      <c r="D19">
        <v>135</v>
      </c>
      <c r="E19">
        <v>795</v>
      </c>
      <c r="F19">
        <v>140</v>
      </c>
      <c r="G19">
        <v>779</v>
      </c>
    </row>
    <row r="20" spans="1:7" x14ac:dyDescent="0.25">
      <c r="A20" t="s">
        <v>346</v>
      </c>
      <c r="B20" t="s">
        <v>352</v>
      </c>
      <c r="C20">
        <v>429</v>
      </c>
      <c r="D20">
        <v>622</v>
      </c>
      <c r="E20">
        <v>931</v>
      </c>
      <c r="F20">
        <v>348</v>
      </c>
      <c r="G20">
        <v>505</v>
      </c>
    </row>
  </sheetData>
  <mergeCells count="2">
    <mergeCell ref="A13:G13"/>
    <mergeCell ref="A1:G1"/>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4818A-998E-4498-BC41-7E23015AAA10}">
  <sheetPr codeName="Sheet37"/>
  <dimension ref="A1:U18"/>
  <sheetViews>
    <sheetView workbookViewId="0">
      <selection activeCell="M28" sqref="M28"/>
    </sheetView>
  </sheetViews>
  <sheetFormatPr defaultRowHeight="15" x14ac:dyDescent="0.25"/>
  <sheetData>
    <row r="1" spans="1:21" x14ac:dyDescent="0.25">
      <c r="A1">
        <v>2</v>
      </c>
      <c r="B1">
        <v>5</v>
      </c>
    </row>
    <row r="5" spans="1:21" x14ac:dyDescent="0.25">
      <c r="O5" s="61"/>
      <c r="P5" s="61"/>
      <c r="Q5" s="61"/>
      <c r="R5" s="61"/>
      <c r="S5" s="61"/>
      <c r="T5" s="61"/>
      <c r="U5" s="61"/>
    </row>
    <row r="6" spans="1:21" x14ac:dyDescent="0.25">
      <c r="A6" t="s">
        <v>0</v>
      </c>
      <c r="B6" s="17" t="s">
        <v>324</v>
      </c>
      <c r="C6" s="18" t="s">
        <v>325</v>
      </c>
      <c r="D6" s="19" t="s">
        <v>326</v>
      </c>
      <c r="E6" s="1" t="s">
        <v>327</v>
      </c>
      <c r="O6" s="61"/>
      <c r="P6" s="61"/>
      <c r="Q6" s="61"/>
      <c r="R6" s="61"/>
      <c r="S6" s="61"/>
      <c r="T6" s="61"/>
      <c r="U6" s="61"/>
    </row>
    <row r="7" spans="1:21" x14ac:dyDescent="0.25">
      <c r="A7" t="str">
        <f ca="1">A12</f>
        <v>MONISHA</v>
      </c>
      <c r="B7">
        <f ca="1">INDEX(Sheet27!$N$2:$Q$13,MATCH(Sheet28!$A$7,Sheet27!$M$2:$M$13,0),MATCH(Sheet28!B$6,Sheet27!$N$1:$Q$1,0))</f>
        <v>93</v>
      </c>
      <c r="C7">
        <f ca="1">INDEX(Sheet27!$N$2:$Q$13,MATCH(Sheet28!$A$7,Sheet27!$M$2:$M$13,0),MATCH(Sheet28!C$6,Sheet27!$N$1:$Q$1,0))</f>
        <v>58</v>
      </c>
      <c r="D7">
        <f ca="1">INDEX(Sheet27!$N$2:$Q$13,MATCH(Sheet28!$A$7,Sheet27!$M$2:$M$13,0),MATCH(Sheet28!D$6,Sheet27!$N$1:$Q$1,0))</f>
        <v>51</v>
      </c>
      <c r="E7">
        <f ca="1">INDEX(Sheet27!$N$2:$Q$13,MATCH(Sheet28!$A$7,Sheet27!$M$2:$M$13,0),MATCH(Sheet28!E$6,Sheet27!$N$1:$Q$1,0))</f>
        <v>52</v>
      </c>
      <c r="O7" s="61"/>
      <c r="P7" s="61"/>
      <c r="Q7" s="61"/>
      <c r="R7" s="61"/>
      <c r="S7" s="61"/>
      <c r="T7" s="61"/>
      <c r="U7" s="61"/>
    </row>
    <row r="8" spans="1:21" x14ac:dyDescent="0.25">
      <c r="O8" s="61"/>
      <c r="P8" s="61"/>
      <c r="Q8" s="61"/>
      <c r="R8" s="61"/>
      <c r="S8" s="61"/>
      <c r="T8" s="61"/>
      <c r="U8" s="61"/>
    </row>
    <row r="11" spans="1:21" x14ac:dyDescent="0.25">
      <c r="A11" t="s">
        <v>0</v>
      </c>
      <c r="B11" t="s">
        <v>334</v>
      </c>
      <c r="C11" t="s">
        <v>353</v>
      </c>
      <c r="D11" t="s">
        <v>354</v>
      </c>
      <c r="E11" t="s">
        <v>355</v>
      </c>
      <c r="F11" t="s">
        <v>356</v>
      </c>
      <c r="G11" t="s">
        <v>357</v>
      </c>
    </row>
    <row r="12" spans="1:21" x14ac:dyDescent="0.25">
      <c r="A12" t="str">
        <f ca="1">CHOOSE($A$1,OFFSET(Sheet27!A2,Sheet28!B1,0),OFFSET(Sheet27!A14,Sheet28!B1,0))</f>
        <v>MONISHA</v>
      </c>
      <c r="B12" t="str">
        <f ca="1">VLOOKUP(A$12,Sheet27!A1:G20,MATCH(Sheet28!B11,Sheet27!A2:G2,0),0)</f>
        <v>DEBATE</v>
      </c>
      <c r="C12">
        <f ca="1">VLOOKUP(B$12,Sheet27!B1:H20,MATCH(Sheet28!C11,Sheet27!B2:H2,0),0)</f>
        <v>835</v>
      </c>
      <c r="D12">
        <f ca="1">VLOOKUP(C$12,Sheet27!C1:I20,MATCH(Sheet28!D11,Sheet27!C2:I2,0),0)</f>
        <v>135</v>
      </c>
      <c r="E12">
        <f ca="1">VLOOKUP(D$12,Sheet27!D1:J20,MATCH(Sheet28!E11,Sheet27!D2:J2,0),0)</f>
        <v>795</v>
      </c>
      <c r="F12">
        <f ca="1">VLOOKUP(E$12,Sheet27!E1:K20,MATCH(Sheet28!F11,Sheet27!E2:K2,0),0)</f>
        <v>140</v>
      </c>
      <c r="G12">
        <f ca="1">VLOOKUP(F$12,Sheet27!F1:L20,MATCH(Sheet28!G11,Sheet27!F2:L2,0),0)</f>
        <v>779</v>
      </c>
    </row>
    <row r="15" spans="1:21" x14ac:dyDescent="0.25">
      <c r="O15" s="61"/>
      <c r="P15" s="61"/>
      <c r="Q15" s="61"/>
      <c r="R15" s="61"/>
      <c r="S15" s="61"/>
      <c r="T15" s="61"/>
      <c r="U15" s="61"/>
    </row>
    <row r="16" spans="1:21" x14ac:dyDescent="0.25">
      <c r="O16" s="61"/>
      <c r="P16" s="61"/>
      <c r="Q16" s="61"/>
      <c r="R16" s="61"/>
      <c r="S16" s="61"/>
      <c r="T16" s="61"/>
      <c r="U16" s="61"/>
    </row>
    <row r="17" spans="15:21" x14ac:dyDescent="0.25">
      <c r="O17" s="61"/>
      <c r="P17" s="61"/>
      <c r="Q17" s="61"/>
      <c r="R17" s="61"/>
      <c r="S17" s="61"/>
      <c r="T17" s="61"/>
      <c r="U17" s="61"/>
    </row>
    <row r="18" spans="15:21" x14ac:dyDescent="0.25">
      <c r="O18" s="61"/>
      <c r="P18" s="61"/>
      <c r="Q18" s="61"/>
      <c r="R18" s="61"/>
      <c r="S18" s="61"/>
      <c r="T18" s="61"/>
      <c r="U18" s="61"/>
    </row>
  </sheetData>
  <mergeCells count="2">
    <mergeCell ref="O5:U8"/>
    <mergeCell ref="O15:U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Option Button 1">
              <controlPr defaultSize="0" autoFill="0" autoLine="0" autoPict="0">
                <anchor moveWithCells="1">
                  <from>
                    <xdr:col>14</xdr:col>
                    <xdr:colOff>104775</xdr:colOff>
                    <xdr:row>5</xdr:row>
                    <xdr:rowOff>9525</xdr:rowOff>
                  </from>
                  <to>
                    <xdr:col>17</xdr:col>
                    <xdr:colOff>95250</xdr:colOff>
                    <xdr:row>7</xdr:row>
                    <xdr:rowOff>28575</xdr:rowOff>
                  </to>
                </anchor>
              </controlPr>
            </control>
          </mc:Choice>
        </mc:AlternateContent>
        <mc:AlternateContent xmlns:mc="http://schemas.openxmlformats.org/markup-compatibility/2006">
          <mc:Choice Requires="x14">
            <control shapeId="29698" r:id="rId5" name="Option Button 2">
              <controlPr defaultSize="0" autoFill="0" autoLine="0" autoPict="0">
                <anchor moveWithCells="1">
                  <from>
                    <xdr:col>18</xdr:col>
                    <xdr:colOff>9525</xdr:colOff>
                    <xdr:row>5</xdr:row>
                    <xdr:rowOff>19050</xdr:rowOff>
                  </from>
                  <to>
                    <xdr:col>20</xdr:col>
                    <xdr:colOff>571500</xdr:colOff>
                    <xdr:row>7</xdr:row>
                    <xdr:rowOff>0</xdr:rowOff>
                  </to>
                </anchor>
              </controlPr>
            </control>
          </mc:Choice>
        </mc:AlternateContent>
        <mc:AlternateContent xmlns:mc="http://schemas.openxmlformats.org/markup-compatibility/2006">
          <mc:Choice Requires="x14">
            <control shapeId="29699" r:id="rId6" name="Drop Down 3">
              <controlPr defaultSize="0" autoLine="0" autoPict="0">
                <anchor moveWithCells="1">
                  <from>
                    <xdr:col>14</xdr:col>
                    <xdr:colOff>209550</xdr:colOff>
                    <xdr:row>14</xdr:row>
                    <xdr:rowOff>180975</xdr:rowOff>
                  </from>
                  <to>
                    <xdr:col>20</xdr:col>
                    <xdr:colOff>457200</xdr:colOff>
                    <xdr:row>16</xdr:row>
                    <xdr:rowOff>161925</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CF755-48FE-4E96-B82B-5CD93C5E4CBE}">
  <sheetPr codeName="Sheet38"/>
  <dimension ref="A1"/>
  <sheetViews>
    <sheetView workbookViewId="0">
      <selection activeCell="M28" sqref="M28"/>
    </sheetView>
  </sheetViews>
  <sheetFormatPr defaultRowHeight="15" x14ac:dyDescent="0.25"/>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AD681-7AE7-4FDC-900E-DF57A4E7E947}">
  <sheetPr codeName="Sheet39"/>
  <dimension ref="A1"/>
  <sheetViews>
    <sheetView workbookViewId="0">
      <selection activeCell="M28" sqref="M28"/>
    </sheetView>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D66BCA8-4576-4253-BDCF-B210E42E95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10</vt:i4>
      </vt:variant>
    </vt:vector>
  </HeadingPairs>
  <TitlesOfParts>
    <vt:vector size="55" baseType="lpstr">
      <vt:lpstr>Sheet39</vt:lpstr>
      <vt:lpstr>Sheet38</vt:lpstr>
      <vt:lpstr>Sheet37</vt:lpstr>
      <vt:lpstr>Sheet40</vt:lpstr>
      <vt:lpstr>Sheet36</vt:lpstr>
      <vt:lpstr>Sheet35</vt:lpstr>
      <vt:lpstr>Sheet33</vt:lpstr>
      <vt:lpstr>Sheet31</vt:lpstr>
      <vt:lpstr>Sheet32</vt:lpstr>
      <vt:lpstr>Sheet-3</vt:lpstr>
      <vt:lpstr>Sheet-2</vt:lpstr>
      <vt:lpstr>Sheet-1</vt:lpstr>
      <vt:lpstr>Sheet0</vt:lpstr>
      <vt:lpstr>Sheet1</vt:lpstr>
      <vt:lpstr>Sheet2</vt:lpstr>
      <vt:lpstr>S2REV</vt:lpstr>
      <vt:lpstr>Sheet3</vt:lpstr>
      <vt:lpstr>Sheet4</vt:lpstr>
      <vt:lpstr>Sheet5</vt:lpstr>
      <vt:lpstr>Sheet6</vt:lpstr>
      <vt:lpstr>Sheet7</vt:lpstr>
      <vt:lpstr>Sheet30</vt:lpstr>
      <vt:lpstr>Sheet8</vt:lpstr>
      <vt:lpstr>Sheet9</vt:lpstr>
      <vt:lpstr>Sheet10</vt:lpstr>
      <vt:lpstr>Sheet11</vt:lpstr>
      <vt:lpstr>Sheet12</vt:lpstr>
      <vt:lpstr>Sheet13</vt:lpstr>
      <vt:lpstr>Sheet14</vt:lpstr>
      <vt:lpstr>Sheet15</vt:lpstr>
      <vt:lpstr>Sheet16</vt:lpstr>
      <vt:lpstr>Sheet17</vt:lpstr>
      <vt:lpstr>Sheet18</vt:lpstr>
      <vt:lpstr>Sheet19</vt:lpstr>
      <vt:lpstr>Sheet20</vt:lpstr>
      <vt:lpstr>Sheet21</vt:lpstr>
      <vt:lpstr>Sheet22</vt:lpstr>
      <vt:lpstr>Sheet23</vt:lpstr>
      <vt:lpstr>Sheet24</vt:lpstr>
      <vt:lpstr>Sheet25</vt:lpstr>
      <vt:lpstr>Sheet26</vt:lpstr>
      <vt:lpstr>Sheet27</vt:lpstr>
      <vt:lpstr>Sheet28</vt:lpstr>
      <vt:lpstr>Sheet29</vt:lpstr>
      <vt:lpstr>Sheet34</vt:lpstr>
      <vt:lpstr>COMPUTER_STUDENTS</vt:lpstr>
      <vt:lpstr>Sheet31!Criteria</vt:lpstr>
      <vt:lpstr>Sheet33!Criteria</vt:lpstr>
      <vt:lpstr>Sheet35!Criteria</vt:lpstr>
      <vt:lpstr>ENGLISH_STUDENTS</vt:lpstr>
      <vt:lpstr>Sheet31!Extract</vt:lpstr>
      <vt:lpstr>Sheet33!Extract</vt:lpstr>
      <vt:lpstr>Sheet35!Extract</vt:lpstr>
      <vt:lpstr>PRODUCT</vt:lpstr>
      <vt:lpstr>STATE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Eight Academy</dc:creator>
  <cp:lastModifiedBy>pc</cp:lastModifiedBy>
  <cp:lastPrinted>2025-01-21T02:47:17Z</cp:lastPrinted>
  <dcterms:created xsi:type="dcterms:W3CDTF">2024-10-23T05:59:35Z</dcterms:created>
  <dcterms:modified xsi:type="dcterms:W3CDTF">2025-04-01T00:57:52Z</dcterms:modified>
</cp:coreProperties>
</file>